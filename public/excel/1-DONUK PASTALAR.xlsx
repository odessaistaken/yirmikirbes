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eb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1" sheetId="2" r:id="rId1"/>
  </sheets>
  <definedNames>
    <definedName name="_xlnm.Print_Area" localSheetId="0">Sayfa1!$C$2:$J$54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2" l="1"/>
  <c r="H53" i="2"/>
  <c r="H52" i="2"/>
  <c r="H51" i="2"/>
  <c r="H50" i="2"/>
  <c r="H49" i="2"/>
  <c r="H48" i="2"/>
  <c r="H47" i="2"/>
  <c r="H46" i="2"/>
  <c r="H45" i="2"/>
  <c r="H44" i="2"/>
  <c r="H38" i="2"/>
  <c r="H37" i="2"/>
  <c r="H34" i="2"/>
  <c r="H33" i="2"/>
  <c r="H32" i="2"/>
  <c r="H31" i="2"/>
  <c r="H30" i="2"/>
  <c r="H29" i="2"/>
  <c r="H28" i="2"/>
  <c r="H27" i="2"/>
  <c r="H25" i="2"/>
  <c r="H24" i="2"/>
  <c r="H23" i="2"/>
  <c r="H22" i="2"/>
  <c r="H21" i="2"/>
  <c r="H19" i="2"/>
  <c r="H18" i="2"/>
  <c r="H17" i="2"/>
  <c r="H16" i="2"/>
  <c r="H10" i="2"/>
  <c r="H9" i="2"/>
</calcChain>
</file>

<file path=xl/sharedStrings.xml><?xml version="1.0" encoding="utf-8"?>
<sst xmlns="http://schemas.openxmlformats.org/spreadsheetml/2006/main" count="162" uniqueCount="110">
  <si>
    <t>160 GR</t>
  </si>
  <si>
    <t>1440 GR</t>
  </si>
  <si>
    <t>TİRAMİSU KARE</t>
  </si>
  <si>
    <t>120 GR</t>
  </si>
  <si>
    <t>1200 GR</t>
  </si>
  <si>
    <t xml:space="preserve">TİRAMİSU </t>
  </si>
  <si>
    <t>140 GR</t>
  </si>
  <si>
    <t>2100 GR</t>
  </si>
  <si>
    <t>SUFFLE PİŞMİŞ</t>
  </si>
  <si>
    <t>130 GR</t>
  </si>
  <si>
    <t>2340 GR</t>
  </si>
  <si>
    <t>SUFFLE ÇİĞ</t>
  </si>
  <si>
    <t>200 GR</t>
  </si>
  <si>
    <t>2400 GR</t>
  </si>
  <si>
    <t>YER FISTIKLI MONO</t>
  </si>
  <si>
    <t>125 GR</t>
  </si>
  <si>
    <t>1500 GR</t>
  </si>
  <si>
    <t>RED VELVET</t>
  </si>
  <si>
    <t>180 GR</t>
  </si>
  <si>
    <t>1800 GR</t>
  </si>
  <si>
    <t>PARİS BREST</t>
  </si>
  <si>
    <t>165 GR</t>
  </si>
  <si>
    <t>1650 GR</t>
  </si>
  <si>
    <t>ORMAN MEYVELİ</t>
  </si>
  <si>
    <t>MOR RÜYA</t>
  </si>
  <si>
    <t>170 GR</t>
  </si>
  <si>
    <t>2720 GR</t>
  </si>
  <si>
    <t>MOZAİK</t>
  </si>
  <si>
    <t>MONO LATTE</t>
  </si>
  <si>
    <t>145 GR</t>
  </si>
  <si>
    <t>1450 GR</t>
  </si>
  <si>
    <t>MUZLU ÇİKOLATALI</t>
  </si>
  <si>
    <t>190 GR</t>
  </si>
  <si>
    <t>1710 GR</t>
  </si>
  <si>
    <t>MONO OREO VELVET</t>
  </si>
  <si>
    <t>MONO FISTIKLI VELVET</t>
  </si>
  <si>
    <t>MONO KROKAN KAHVELİ</t>
  </si>
  <si>
    <t>220 GR</t>
  </si>
  <si>
    <t>2000 GR</t>
  </si>
  <si>
    <t>MONO BEYAZ PROFİTEROLLÜ</t>
  </si>
  <si>
    <t>250 GR</t>
  </si>
  <si>
    <t>2250 GR</t>
  </si>
  <si>
    <t>MONO SİYAH PROFİTEROLLÜ</t>
  </si>
  <si>
    <t>100 GR</t>
  </si>
  <si>
    <t>800 GR</t>
  </si>
  <si>
    <t>MARLENKA ÇİKOLATALI-İTHAL ÜRÜN</t>
  </si>
  <si>
    <t>MARLENKA CEVİZLİ-İTHAL ÜRÜN</t>
  </si>
  <si>
    <t>1920 GR</t>
  </si>
  <si>
    <t>MARLENKA FISTIKLI</t>
  </si>
  <si>
    <t>MARLENKA CEVİZLİ</t>
  </si>
  <si>
    <t>LOTUS DOME</t>
  </si>
  <si>
    <t>1595 GR</t>
  </si>
  <si>
    <t>KUBBE YABAN MERSİNLİ</t>
  </si>
  <si>
    <t>155 GR</t>
  </si>
  <si>
    <t>1705 GR</t>
  </si>
  <si>
    <t>KUBBE ÇİLEKLİ</t>
  </si>
  <si>
    <t>1870 GR</t>
  </si>
  <si>
    <t>KUBBE FISTIKLI ÇİKOLATALI</t>
  </si>
  <si>
    <t>KREMALI HAVUÇLU PASTA</t>
  </si>
  <si>
    <t>1680 GR</t>
  </si>
  <si>
    <t>KARA ORMAN MEYVELİ</t>
  </si>
  <si>
    <t>1485 GR</t>
  </si>
  <si>
    <t>KALPLİ PASTA</t>
  </si>
  <si>
    <t>1980 GR</t>
  </si>
  <si>
    <t>GÖKKUŞAĞI</t>
  </si>
  <si>
    <t>FRANSIZ EKLER</t>
  </si>
  <si>
    <t>FISTIKLI MELANGA</t>
  </si>
  <si>
    <t>FISTIK DALGASI</t>
  </si>
  <si>
    <t>DEVİLS FISTIK BAHÇESİ</t>
  </si>
  <si>
    <t>1395 GR</t>
  </si>
  <si>
    <t>DRAGON</t>
  </si>
  <si>
    <t xml:space="preserve">DEVİLS FOOD CAKE </t>
  </si>
  <si>
    <t>1700 GR</t>
  </si>
  <si>
    <t>FISTIKLI ÇİKOLATALI MONO</t>
  </si>
  <si>
    <t>COCO STAR</t>
  </si>
  <si>
    <t>CHOCO BERRY</t>
  </si>
  <si>
    <t>1560 GR</t>
  </si>
  <si>
    <t>CEDRİC KAHVE MASALI</t>
  </si>
  <si>
    <t>104 GR</t>
  </si>
  <si>
    <t>1250 GR</t>
  </si>
  <si>
    <t>CEDRİC MANGO</t>
  </si>
  <si>
    <t>118 GR</t>
  </si>
  <si>
    <t>950 GR</t>
  </si>
  <si>
    <t>CEDRİC FISTIK</t>
  </si>
  <si>
    <t>1170 GR</t>
  </si>
  <si>
    <t xml:space="preserve">BROWNİ </t>
  </si>
  <si>
    <t>185 GR</t>
  </si>
  <si>
    <t>1665 GR</t>
  </si>
  <si>
    <t>BELLA VİSTA</t>
  </si>
  <si>
    <t>2160 GR</t>
  </si>
  <si>
    <t>BELÇİKA ÇİKOLATALI</t>
  </si>
  <si>
    <t>YABAN MERSİNLİ CHEESCAKE</t>
  </si>
  <si>
    <t>175 GR</t>
  </si>
  <si>
    <t>SAN SEBASTİAN CHEESCAKE</t>
  </si>
  <si>
    <t>LOTUS CHEESCAKE</t>
  </si>
  <si>
    <t>1900 GR</t>
  </si>
  <si>
    <t>LİMONLU CHEESCAKE</t>
  </si>
  <si>
    <t>FRAMBUAZLI CHEESCAKE</t>
  </si>
  <si>
    <t>DİLİM SATIŞ FİYATI</t>
  </si>
  <si>
    <t>KUTU SATIŞ FİYATI</t>
  </si>
  <si>
    <t>DİLİM GRAMAJ</t>
  </si>
  <si>
    <t>KUTU GRAMAJ</t>
  </si>
  <si>
    <t>KUTU İÇİ DİLİM</t>
  </si>
  <si>
    <t>ÜRÜN ADI</t>
  </si>
  <si>
    <t>20 45 GIDA PASTACILIK LTD.ŞTİ.</t>
  </si>
  <si>
    <t>KDV</t>
  </si>
  <si>
    <r>
      <t xml:space="preserve">MONO MOR VELVET  </t>
    </r>
    <r>
      <rPr>
        <b/>
        <i/>
        <u/>
        <sz val="12"/>
        <color theme="1"/>
        <rFont val="Calibri"/>
        <family val="2"/>
        <charset val="162"/>
        <scheme val="minor"/>
      </rPr>
      <t>(BLDY)</t>
    </r>
  </si>
  <si>
    <t>NO</t>
  </si>
  <si>
    <t>CEDRİC LİMON</t>
  </si>
  <si>
    <t>1875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</si>
</sst>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8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i/>
      <u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webp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137160</xdr:colOff>
      <xdr:row>3</xdr:row>
      <xdr:rowOff>53340</xdr:rowOff>
    </xdr:from>
    <xdr:ext cx="776346" cy="571500"/>
    <xdr:pic>
      <xdr:nvPicPr>
        <xdr:cNvPr id="55" name="Resim 54">
          <a:extLst>
            <a:ext uri="{FF2B5EF4-FFF2-40B4-BE49-F238E27FC236}">
              <a16:creationId xmlns:a16="http://schemas.microsoft.com/office/drawing/2014/main" id="{BF1DDEAE-D133-EBDC-2AC1-AB63FCD40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181100"/>
          <a:ext cx="776346" cy="571500"/>
        </a:xfrm>
        <a:prstGeom prst="rect">
          <a:avLst/>
        </a:prstGeom>
      </xdr:spPr>
    </xdr:pic>
    <xdr:clientData/>
  </xdr:oneCellAnchor>
  <xdr:oneCellAnchor>
    <xdr:from>
      <xdr:col>2</xdr:col>
      <xdr:colOff>46924</xdr:colOff>
      <xdr:row>4</xdr:row>
      <xdr:rowOff>99060</xdr:rowOff>
    </xdr:from>
    <xdr:ext cx="900000" cy="563880"/>
    <xdr:pic>
      <xdr:nvPicPr>
        <xdr:cNvPr id="56" name="Resim 55">
          <a:extLst>
            <a:ext uri="{FF2B5EF4-FFF2-40B4-BE49-F238E27FC236}">
              <a16:creationId xmlns:a16="http://schemas.microsoft.com/office/drawing/2014/main" id="{6609037B-C3D1-2038-BF22-A16ECD62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764" y="1905000"/>
          <a:ext cx="900000" cy="563880"/>
        </a:xfrm>
        <a:prstGeom prst="rect">
          <a:avLst/>
        </a:prstGeom>
      </xdr:spPr>
    </xdr:pic>
    <xdr:clientData/>
  </xdr:oneCellAnchor>
  <xdr:oneCellAnchor>
    <xdr:from>
      <xdr:col>2</xdr:col>
      <xdr:colOff>67629</xdr:colOff>
      <xdr:row>5</xdr:row>
      <xdr:rowOff>91439</xdr:rowOff>
    </xdr:from>
    <xdr:ext cx="890586" cy="552879"/>
    <xdr:pic>
      <xdr:nvPicPr>
        <xdr:cNvPr id="57" name="Resim 56">
          <a:extLst>
            <a:ext uri="{FF2B5EF4-FFF2-40B4-BE49-F238E27FC236}">
              <a16:creationId xmlns:a16="http://schemas.microsoft.com/office/drawing/2014/main" id="{D8372C42-E1A7-6070-1793-587D1FD1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929" y="2577464"/>
          <a:ext cx="890586" cy="552879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6</xdr:row>
      <xdr:rowOff>114299</xdr:rowOff>
    </xdr:from>
    <xdr:ext cx="792825" cy="491607"/>
    <xdr:pic>
      <xdr:nvPicPr>
        <xdr:cNvPr id="58" name="Resim 57">
          <a:extLst>
            <a:ext uri="{FF2B5EF4-FFF2-40B4-BE49-F238E27FC236}">
              <a16:creationId xmlns:a16="http://schemas.microsoft.com/office/drawing/2014/main" id="{2167C7EA-8636-87BE-AF9C-9D67F9DC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276599"/>
          <a:ext cx="792825" cy="491607"/>
        </a:xfrm>
        <a:prstGeom prst="rect">
          <a:avLst/>
        </a:prstGeom>
      </xdr:spPr>
    </xdr:pic>
    <xdr:clientData/>
  </xdr:oneCellAnchor>
  <xdr:oneCellAnchor>
    <xdr:from>
      <xdr:col>2</xdr:col>
      <xdr:colOff>17859</xdr:colOff>
      <xdr:row>7</xdr:row>
      <xdr:rowOff>27385</xdr:rowOff>
    </xdr:from>
    <xdr:ext cx="869157" cy="582215"/>
    <xdr:pic>
      <xdr:nvPicPr>
        <xdr:cNvPr id="59" name="Resim 58">
          <a:extLst>
            <a:ext uri="{FF2B5EF4-FFF2-40B4-BE49-F238E27FC236}">
              <a16:creationId xmlns:a16="http://schemas.microsoft.com/office/drawing/2014/main" id="{7FBE6319-E9EA-DA22-FFB0-4E53CB9E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699" y="3867865"/>
          <a:ext cx="869157" cy="582215"/>
        </a:xfrm>
        <a:prstGeom prst="rect">
          <a:avLst/>
        </a:prstGeom>
      </xdr:spPr>
    </xdr:pic>
    <xdr:clientData/>
  </xdr:oneCellAnchor>
  <xdr:oneCellAnchor>
    <xdr:from>
      <xdr:col>2</xdr:col>
      <xdr:colOff>54509</xdr:colOff>
      <xdr:row>8</xdr:row>
      <xdr:rowOff>48774</xdr:rowOff>
    </xdr:from>
    <xdr:ext cx="808134" cy="517335"/>
    <xdr:pic>
      <xdr:nvPicPr>
        <xdr:cNvPr id="60" name="Resim 59">
          <a:extLst>
            <a:ext uri="{FF2B5EF4-FFF2-40B4-BE49-F238E27FC236}">
              <a16:creationId xmlns:a16="http://schemas.microsoft.com/office/drawing/2014/main" id="{A525F24E-9915-AC1A-BD43-F2D609654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49" y="4567434"/>
          <a:ext cx="808134" cy="517335"/>
        </a:xfrm>
        <a:prstGeom prst="rect">
          <a:avLst/>
        </a:prstGeom>
      </xdr:spPr>
    </xdr:pic>
    <xdr:clientData/>
  </xdr:oneCellAnchor>
  <xdr:oneCellAnchor>
    <xdr:from>
      <xdr:col>2</xdr:col>
      <xdr:colOff>22225</xdr:colOff>
      <xdr:row>9</xdr:row>
      <xdr:rowOff>22226</xdr:rowOff>
    </xdr:from>
    <xdr:ext cx="894719" cy="594000"/>
    <xdr:pic>
      <xdr:nvPicPr>
        <xdr:cNvPr id="61" name="Resim 60">
          <a:extLst>
            <a:ext uri="{FF2B5EF4-FFF2-40B4-BE49-F238E27FC236}">
              <a16:creationId xmlns:a16="http://schemas.microsoft.com/office/drawing/2014/main" id="{99CD4367-F117-A7F5-BF34-D9E62649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065" y="5219066"/>
          <a:ext cx="894719" cy="594000"/>
        </a:xfrm>
        <a:prstGeom prst="rect">
          <a:avLst/>
        </a:prstGeom>
      </xdr:spPr>
    </xdr:pic>
    <xdr:clientData/>
  </xdr:oneCellAnchor>
  <xdr:oneCellAnchor>
    <xdr:from>
      <xdr:col>2</xdr:col>
      <xdr:colOff>25400</xdr:colOff>
      <xdr:row>10</xdr:row>
      <xdr:rowOff>76199</xdr:rowOff>
    </xdr:from>
    <xdr:ext cx="880338" cy="548501"/>
    <xdr:pic>
      <xdr:nvPicPr>
        <xdr:cNvPr id="62" name="Resim 61">
          <a:extLst>
            <a:ext uri="{FF2B5EF4-FFF2-40B4-BE49-F238E27FC236}">
              <a16:creationId xmlns:a16="http://schemas.microsoft.com/office/drawing/2014/main" id="{7B63C326-9CA6-1BCA-3972-9139B1AA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240" y="5951219"/>
          <a:ext cx="880338" cy="548501"/>
        </a:xfrm>
        <a:prstGeom prst="rect">
          <a:avLst/>
        </a:prstGeom>
      </xdr:spPr>
    </xdr:pic>
    <xdr:clientData/>
  </xdr:oneCellAnchor>
  <xdr:oneCellAnchor>
    <xdr:from>
      <xdr:col>2</xdr:col>
      <xdr:colOff>26036</xdr:colOff>
      <xdr:row>11</xdr:row>
      <xdr:rowOff>30479</xdr:rowOff>
    </xdr:from>
    <xdr:ext cx="798707" cy="579121"/>
    <xdr:pic>
      <xdr:nvPicPr>
        <xdr:cNvPr id="63" name="Resim 62">
          <a:extLst>
            <a:ext uri="{FF2B5EF4-FFF2-40B4-BE49-F238E27FC236}">
              <a16:creationId xmlns:a16="http://schemas.microsoft.com/office/drawing/2014/main" id="{C3C57DFA-CDD2-3794-96BD-3D9C41D1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76" y="6583679"/>
          <a:ext cx="798707" cy="579121"/>
        </a:xfrm>
        <a:prstGeom prst="rect">
          <a:avLst/>
        </a:prstGeom>
      </xdr:spPr>
    </xdr:pic>
    <xdr:clientData/>
  </xdr:oneCellAnchor>
  <xdr:oneCellAnchor>
    <xdr:from>
      <xdr:col>2</xdr:col>
      <xdr:colOff>117475</xdr:colOff>
      <xdr:row>12</xdr:row>
      <xdr:rowOff>121920</xdr:rowOff>
    </xdr:from>
    <xdr:ext cx="792000" cy="502920"/>
    <xdr:pic>
      <xdr:nvPicPr>
        <xdr:cNvPr id="64" name="Resim 63">
          <a:extLst>
            <a:ext uri="{FF2B5EF4-FFF2-40B4-BE49-F238E27FC236}">
              <a16:creationId xmlns:a16="http://schemas.microsoft.com/office/drawing/2014/main" id="{2BE446D1-3E25-0DCA-E4EE-EC4403763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315" y="7353300"/>
          <a:ext cx="792000" cy="502920"/>
        </a:xfrm>
        <a:prstGeom prst="rect">
          <a:avLst/>
        </a:prstGeom>
      </xdr:spPr>
    </xdr:pic>
    <xdr:clientData/>
  </xdr:oneCellAnchor>
  <xdr:oneCellAnchor>
    <xdr:from>
      <xdr:col>2</xdr:col>
      <xdr:colOff>34925</xdr:colOff>
      <xdr:row>14</xdr:row>
      <xdr:rowOff>25400</xdr:rowOff>
    </xdr:from>
    <xdr:ext cx="864000" cy="607060"/>
    <xdr:pic>
      <xdr:nvPicPr>
        <xdr:cNvPr id="65" name="Resim 64">
          <a:extLst>
            <a:ext uri="{FF2B5EF4-FFF2-40B4-BE49-F238E27FC236}">
              <a16:creationId xmlns:a16="http://schemas.microsoft.com/office/drawing/2014/main" id="{DF10564D-926C-2E53-90E8-E428B64E0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765" y="7934960"/>
          <a:ext cx="864000" cy="607060"/>
        </a:xfrm>
        <a:prstGeom prst="rect">
          <a:avLst/>
        </a:prstGeom>
      </xdr:spPr>
    </xdr:pic>
    <xdr:clientData/>
  </xdr:oneCellAnchor>
  <xdr:oneCellAnchor>
    <xdr:from>
      <xdr:col>2</xdr:col>
      <xdr:colOff>31750</xdr:colOff>
      <xdr:row>15</xdr:row>
      <xdr:rowOff>106680</xdr:rowOff>
    </xdr:from>
    <xdr:ext cx="868109" cy="488370"/>
    <xdr:pic>
      <xdr:nvPicPr>
        <xdr:cNvPr id="66" name="Resim 65">
          <a:extLst>
            <a:ext uri="{FF2B5EF4-FFF2-40B4-BE49-F238E27FC236}">
              <a16:creationId xmlns:a16="http://schemas.microsoft.com/office/drawing/2014/main" id="{77587CDA-993F-13F5-8123-2A0379014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90" y="8694420"/>
          <a:ext cx="868109" cy="488370"/>
        </a:xfrm>
        <a:prstGeom prst="rect">
          <a:avLst/>
        </a:prstGeom>
      </xdr:spPr>
    </xdr:pic>
    <xdr:clientData/>
  </xdr:oneCellAnchor>
  <xdr:oneCellAnchor>
    <xdr:from>
      <xdr:col>2</xdr:col>
      <xdr:colOff>21591</xdr:colOff>
      <xdr:row>16</xdr:row>
      <xdr:rowOff>43180</xdr:rowOff>
    </xdr:from>
    <xdr:ext cx="905851" cy="601200"/>
    <xdr:pic>
      <xdr:nvPicPr>
        <xdr:cNvPr id="67" name="Resim 66">
          <a:extLst>
            <a:ext uri="{FF2B5EF4-FFF2-40B4-BE49-F238E27FC236}">
              <a16:creationId xmlns:a16="http://schemas.microsoft.com/office/drawing/2014/main" id="{3D28EA95-B2DD-6252-4851-AB8B9E70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431" y="9309100"/>
          <a:ext cx="905851" cy="601200"/>
        </a:xfrm>
        <a:prstGeom prst="rect">
          <a:avLst/>
        </a:prstGeom>
      </xdr:spPr>
    </xdr:pic>
    <xdr:clientData/>
  </xdr:oneCellAnchor>
  <xdr:oneCellAnchor>
    <xdr:from>
      <xdr:col>2</xdr:col>
      <xdr:colOff>31750</xdr:colOff>
      <xdr:row>17</xdr:row>
      <xdr:rowOff>38100</xdr:rowOff>
    </xdr:from>
    <xdr:ext cx="864000" cy="571500"/>
    <xdr:pic>
      <xdr:nvPicPr>
        <xdr:cNvPr id="68" name="Resim 67">
          <a:extLst>
            <a:ext uri="{FF2B5EF4-FFF2-40B4-BE49-F238E27FC236}">
              <a16:creationId xmlns:a16="http://schemas.microsoft.com/office/drawing/2014/main" id="{13F0F885-A74D-A783-2805-971ED5348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90" y="9982200"/>
          <a:ext cx="864000" cy="571500"/>
        </a:xfrm>
        <a:prstGeom prst="rect">
          <a:avLst/>
        </a:prstGeom>
      </xdr:spPr>
    </xdr:pic>
    <xdr:clientData/>
  </xdr:oneCellAnchor>
  <xdr:oneCellAnchor>
    <xdr:from>
      <xdr:col>2</xdr:col>
      <xdr:colOff>41277</xdr:colOff>
      <xdr:row>18</xdr:row>
      <xdr:rowOff>19050</xdr:rowOff>
    </xdr:from>
    <xdr:ext cx="867687" cy="576000"/>
    <xdr:pic>
      <xdr:nvPicPr>
        <xdr:cNvPr id="69" name="Resim 68">
          <a:extLst>
            <a:ext uri="{FF2B5EF4-FFF2-40B4-BE49-F238E27FC236}">
              <a16:creationId xmlns:a16="http://schemas.microsoft.com/office/drawing/2014/main" id="{85AF12AF-03AB-A207-E322-855E116D1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117" y="10641330"/>
          <a:ext cx="867687" cy="576000"/>
        </a:xfrm>
        <a:prstGeom prst="rect">
          <a:avLst/>
        </a:prstGeom>
      </xdr:spPr>
    </xdr:pic>
    <xdr:clientData/>
  </xdr:oneCellAnchor>
  <xdr:oneCellAnchor>
    <xdr:from>
      <xdr:col>2</xdr:col>
      <xdr:colOff>127000</xdr:colOff>
      <xdr:row>20</xdr:row>
      <xdr:rowOff>53339</xdr:rowOff>
    </xdr:from>
    <xdr:ext cx="738051" cy="586741"/>
    <xdr:pic>
      <xdr:nvPicPr>
        <xdr:cNvPr id="70" name="Resim 69">
          <a:extLst>
            <a:ext uri="{FF2B5EF4-FFF2-40B4-BE49-F238E27FC236}">
              <a16:creationId xmlns:a16="http://schemas.microsoft.com/office/drawing/2014/main" id="{C4CF4E74-3D20-D74F-C0AA-E4CB2C031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840" y="12031979"/>
          <a:ext cx="738051" cy="586741"/>
        </a:xfrm>
        <a:prstGeom prst="rect">
          <a:avLst/>
        </a:prstGeom>
      </xdr:spPr>
    </xdr:pic>
    <xdr:clientData/>
  </xdr:oneCellAnchor>
  <xdr:oneCellAnchor>
    <xdr:from>
      <xdr:col>2</xdr:col>
      <xdr:colOff>60960</xdr:colOff>
      <xdr:row>21</xdr:row>
      <xdr:rowOff>106680</xdr:rowOff>
    </xdr:from>
    <xdr:ext cx="849718" cy="506370"/>
    <xdr:pic>
      <xdr:nvPicPr>
        <xdr:cNvPr id="71" name="Resim 70">
          <a:extLst>
            <a:ext uri="{FF2B5EF4-FFF2-40B4-BE49-F238E27FC236}">
              <a16:creationId xmlns:a16="http://schemas.microsoft.com/office/drawing/2014/main" id="{8B200591-FF72-25F1-07E6-FA8139B7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763500"/>
          <a:ext cx="849718" cy="50637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22</xdr:row>
      <xdr:rowOff>9525</xdr:rowOff>
    </xdr:from>
    <xdr:ext cx="861872" cy="630555"/>
    <xdr:pic>
      <xdr:nvPicPr>
        <xdr:cNvPr id="72" name="Resim 71">
          <a:extLst>
            <a:ext uri="{FF2B5EF4-FFF2-40B4-BE49-F238E27FC236}">
              <a16:creationId xmlns:a16="http://schemas.microsoft.com/office/drawing/2014/main" id="{D06FB1FB-4C2A-3D08-EB69-778A31D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16" y="13344525"/>
          <a:ext cx="861872" cy="630555"/>
        </a:xfrm>
        <a:prstGeom prst="rect">
          <a:avLst/>
        </a:prstGeom>
      </xdr:spPr>
    </xdr:pic>
    <xdr:clientData/>
  </xdr:oneCellAnchor>
  <xdr:oneCellAnchor>
    <xdr:from>
      <xdr:col>2</xdr:col>
      <xdr:colOff>22226</xdr:colOff>
      <xdr:row>23</xdr:row>
      <xdr:rowOff>15875</xdr:rowOff>
    </xdr:from>
    <xdr:ext cx="894802" cy="594000"/>
    <xdr:pic>
      <xdr:nvPicPr>
        <xdr:cNvPr id="73" name="Resim 72">
          <a:extLst>
            <a:ext uri="{FF2B5EF4-FFF2-40B4-BE49-F238E27FC236}">
              <a16:creationId xmlns:a16="http://schemas.microsoft.com/office/drawing/2014/main" id="{97467B3B-9677-3A2F-B2E5-47A91124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066" y="14029055"/>
          <a:ext cx="894802" cy="594000"/>
        </a:xfrm>
        <a:prstGeom prst="rect">
          <a:avLst/>
        </a:prstGeom>
      </xdr:spPr>
    </xdr:pic>
    <xdr:clientData/>
  </xdr:oneCellAnchor>
  <xdr:oneCellAnchor>
    <xdr:from>
      <xdr:col>2</xdr:col>
      <xdr:colOff>31750</xdr:colOff>
      <xdr:row>24</xdr:row>
      <xdr:rowOff>99060</xdr:rowOff>
    </xdr:from>
    <xdr:ext cx="864000" cy="518160"/>
    <xdr:pic>
      <xdr:nvPicPr>
        <xdr:cNvPr id="74" name="Resim 73">
          <a:extLst>
            <a:ext uri="{FF2B5EF4-FFF2-40B4-BE49-F238E27FC236}">
              <a16:creationId xmlns:a16="http://schemas.microsoft.com/office/drawing/2014/main" id="{53D76ED8-3E2C-DF1B-7656-A78332927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90" y="14790420"/>
          <a:ext cx="864000" cy="518160"/>
        </a:xfrm>
        <a:prstGeom prst="rect">
          <a:avLst/>
        </a:prstGeom>
      </xdr:spPr>
    </xdr:pic>
    <xdr:clientData/>
  </xdr:oneCellAnchor>
  <xdr:oneCellAnchor>
    <xdr:from>
      <xdr:col>2</xdr:col>
      <xdr:colOff>31751</xdr:colOff>
      <xdr:row>25</xdr:row>
      <xdr:rowOff>83819</xdr:rowOff>
    </xdr:from>
    <xdr:ext cx="879205" cy="460405"/>
    <xdr:pic>
      <xdr:nvPicPr>
        <xdr:cNvPr id="75" name="Resim 74">
          <a:extLst>
            <a:ext uri="{FF2B5EF4-FFF2-40B4-BE49-F238E27FC236}">
              <a16:creationId xmlns:a16="http://schemas.microsoft.com/office/drawing/2014/main" id="{58050202-3C30-948E-6E64-84205C098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91" y="15453359"/>
          <a:ext cx="879205" cy="460405"/>
        </a:xfrm>
        <a:prstGeom prst="rect">
          <a:avLst/>
        </a:prstGeom>
      </xdr:spPr>
    </xdr:pic>
    <xdr:clientData/>
  </xdr:oneCellAnchor>
  <xdr:oneCellAnchor>
    <xdr:from>
      <xdr:col>2</xdr:col>
      <xdr:colOff>53975</xdr:colOff>
      <xdr:row>26</xdr:row>
      <xdr:rowOff>44450</xdr:rowOff>
    </xdr:from>
    <xdr:ext cx="833234" cy="595630"/>
    <xdr:pic>
      <xdr:nvPicPr>
        <xdr:cNvPr id="76" name="Resim 75">
          <a:extLst>
            <a:ext uri="{FF2B5EF4-FFF2-40B4-BE49-F238E27FC236}">
              <a16:creationId xmlns:a16="http://schemas.microsoft.com/office/drawing/2014/main" id="{158D7CC6-4965-A138-E4B1-DB7AF0CDB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815" y="16092170"/>
          <a:ext cx="833234" cy="595630"/>
        </a:xfrm>
        <a:prstGeom prst="rect">
          <a:avLst/>
        </a:prstGeom>
      </xdr:spPr>
    </xdr:pic>
    <xdr:clientData/>
  </xdr:oneCellAnchor>
  <xdr:oneCellAnchor>
    <xdr:from>
      <xdr:col>2</xdr:col>
      <xdr:colOff>72391</xdr:colOff>
      <xdr:row>27</xdr:row>
      <xdr:rowOff>49530</xdr:rowOff>
    </xdr:from>
    <xdr:ext cx="886152" cy="586800"/>
    <xdr:pic>
      <xdr:nvPicPr>
        <xdr:cNvPr id="77" name="Resim 76">
          <a:extLst>
            <a:ext uri="{FF2B5EF4-FFF2-40B4-BE49-F238E27FC236}">
              <a16:creationId xmlns:a16="http://schemas.microsoft.com/office/drawing/2014/main" id="{3106256C-4711-A092-E021-8232F25D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1" y="16775430"/>
          <a:ext cx="886152" cy="586800"/>
        </a:xfrm>
        <a:prstGeom prst="rect">
          <a:avLst/>
        </a:prstGeom>
      </xdr:spPr>
    </xdr:pic>
    <xdr:clientData/>
  </xdr:oneCellAnchor>
  <xdr:oneCellAnchor>
    <xdr:from>
      <xdr:col>2</xdr:col>
      <xdr:colOff>35345</xdr:colOff>
      <xdr:row>29</xdr:row>
      <xdr:rowOff>114300</xdr:rowOff>
    </xdr:from>
    <xdr:ext cx="868366" cy="533400"/>
    <xdr:pic>
      <xdr:nvPicPr>
        <xdr:cNvPr id="78" name="Resim 77">
          <a:extLst>
            <a:ext uri="{FF2B5EF4-FFF2-40B4-BE49-F238E27FC236}">
              <a16:creationId xmlns:a16="http://schemas.microsoft.com/office/drawing/2014/main" id="{255F3B72-E053-B4E9-E648-F815378C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185" y="18196560"/>
          <a:ext cx="868366" cy="533400"/>
        </a:xfrm>
        <a:prstGeom prst="rect">
          <a:avLst/>
        </a:prstGeom>
      </xdr:spPr>
    </xdr:pic>
    <xdr:clientData/>
  </xdr:oneCellAnchor>
  <xdr:oneCellAnchor>
    <xdr:from>
      <xdr:col>2</xdr:col>
      <xdr:colOff>28995</xdr:colOff>
      <xdr:row>28</xdr:row>
      <xdr:rowOff>137160</xdr:rowOff>
    </xdr:from>
    <xdr:ext cx="868366" cy="510540"/>
    <xdr:pic>
      <xdr:nvPicPr>
        <xdr:cNvPr id="79" name="Resim 78">
          <a:extLst>
            <a:ext uri="{FF2B5EF4-FFF2-40B4-BE49-F238E27FC236}">
              <a16:creationId xmlns:a16="http://schemas.microsoft.com/office/drawing/2014/main" id="{739AFC3E-D370-AEFA-DA74-B30DCDD75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35" y="17541240"/>
          <a:ext cx="868366" cy="510540"/>
        </a:xfrm>
        <a:prstGeom prst="rect">
          <a:avLst/>
        </a:prstGeom>
      </xdr:spPr>
    </xdr:pic>
    <xdr:clientData/>
  </xdr:oneCellAnchor>
  <xdr:oneCellAnchor>
    <xdr:from>
      <xdr:col>2</xdr:col>
      <xdr:colOff>105483</xdr:colOff>
      <xdr:row>30</xdr:row>
      <xdr:rowOff>99060</xdr:rowOff>
    </xdr:from>
    <xdr:ext cx="867600" cy="520533"/>
    <xdr:pic>
      <xdr:nvPicPr>
        <xdr:cNvPr id="80" name="Resim 79">
          <a:extLst>
            <a:ext uri="{FF2B5EF4-FFF2-40B4-BE49-F238E27FC236}">
              <a16:creationId xmlns:a16="http://schemas.microsoft.com/office/drawing/2014/main" id="{9B0491BC-1AD1-F350-5C27-42689AA0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323" y="18859500"/>
          <a:ext cx="867600" cy="520533"/>
        </a:xfrm>
        <a:prstGeom prst="rect">
          <a:avLst/>
        </a:prstGeom>
      </xdr:spPr>
    </xdr:pic>
    <xdr:clientData/>
  </xdr:oneCellAnchor>
  <xdr:oneCellAnchor>
    <xdr:from>
      <xdr:col>2</xdr:col>
      <xdr:colOff>66423</xdr:colOff>
      <xdr:row>31</xdr:row>
      <xdr:rowOff>45720</xdr:rowOff>
    </xdr:from>
    <xdr:ext cx="871627" cy="573403"/>
    <xdr:pic>
      <xdr:nvPicPr>
        <xdr:cNvPr id="81" name="Resim 80">
          <a:extLst>
            <a:ext uri="{FF2B5EF4-FFF2-40B4-BE49-F238E27FC236}">
              <a16:creationId xmlns:a16="http://schemas.microsoft.com/office/drawing/2014/main" id="{FD5955A8-C1B8-800F-B9B8-74D6E532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263" y="19484340"/>
          <a:ext cx="871627" cy="573403"/>
        </a:xfrm>
        <a:prstGeom prst="rect">
          <a:avLst/>
        </a:prstGeom>
      </xdr:spPr>
    </xdr:pic>
    <xdr:clientData/>
  </xdr:oneCellAnchor>
  <xdr:oneCellAnchor>
    <xdr:from>
      <xdr:col>2</xdr:col>
      <xdr:colOff>91440</xdr:colOff>
      <xdr:row>32</xdr:row>
      <xdr:rowOff>83819</xdr:rowOff>
    </xdr:from>
    <xdr:ext cx="720000" cy="561885"/>
    <xdr:pic>
      <xdr:nvPicPr>
        <xdr:cNvPr id="82" name="Resim 81">
          <a:extLst>
            <a:ext uri="{FF2B5EF4-FFF2-40B4-BE49-F238E27FC236}">
              <a16:creationId xmlns:a16="http://schemas.microsoft.com/office/drawing/2014/main" id="{58CF9E14-31CF-D143-42CA-B4A60E29C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20200619"/>
          <a:ext cx="720000" cy="561885"/>
        </a:xfrm>
        <a:prstGeom prst="rect">
          <a:avLst/>
        </a:prstGeom>
      </xdr:spPr>
    </xdr:pic>
    <xdr:clientData/>
  </xdr:oneCellAnchor>
  <xdr:oneCellAnchor>
    <xdr:from>
      <xdr:col>2</xdr:col>
      <xdr:colOff>131445</xdr:colOff>
      <xdr:row>33</xdr:row>
      <xdr:rowOff>91440</xdr:rowOff>
    </xdr:from>
    <xdr:ext cx="720000" cy="541020"/>
    <xdr:pic>
      <xdr:nvPicPr>
        <xdr:cNvPr id="83" name="Resim 82">
          <a:extLst>
            <a:ext uri="{FF2B5EF4-FFF2-40B4-BE49-F238E27FC236}">
              <a16:creationId xmlns:a16="http://schemas.microsoft.com/office/drawing/2014/main" id="{8E176B4E-83BB-A726-A085-1ECDF80E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" y="20886420"/>
          <a:ext cx="720000" cy="541020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19</xdr:row>
      <xdr:rowOff>38100</xdr:rowOff>
    </xdr:from>
    <xdr:ext cx="540000" cy="601980"/>
    <xdr:pic>
      <xdr:nvPicPr>
        <xdr:cNvPr id="84" name="Resim 83">
          <a:extLst>
            <a:ext uri="{FF2B5EF4-FFF2-40B4-BE49-F238E27FC236}">
              <a16:creationId xmlns:a16="http://schemas.microsoft.com/office/drawing/2014/main" id="{3C424D76-1293-3025-3752-45E1212FF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11338560"/>
          <a:ext cx="540000" cy="60198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36</xdr:row>
      <xdr:rowOff>99060</xdr:rowOff>
    </xdr:from>
    <xdr:ext cx="857250" cy="544830"/>
    <xdr:pic>
      <xdr:nvPicPr>
        <xdr:cNvPr id="85" name="Resim 84">
          <a:extLst>
            <a:ext uri="{FF2B5EF4-FFF2-40B4-BE49-F238E27FC236}">
              <a16:creationId xmlns:a16="http://schemas.microsoft.com/office/drawing/2014/main" id="{60875B3E-42C3-78B1-48E2-13C8C46BE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23549610"/>
          <a:ext cx="857250" cy="544830"/>
        </a:xfrm>
        <a:prstGeom prst="rect">
          <a:avLst/>
        </a:prstGeom>
      </xdr:spPr>
    </xdr:pic>
    <xdr:clientData/>
  </xdr:oneCellAnchor>
  <xdr:oneCellAnchor>
    <xdr:from>
      <xdr:col>2</xdr:col>
      <xdr:colOff>36195</xdr:colOff>
      <xdr:row>37</xdr:row>
      <xdr:rowOff>66675</xdr:rowOff>
    </xdr:from>
    <xdr:ext cx="864000" cy="576000"/>
    <xdr:pic>
      <xdr:nvPicPr>
        <xdr:cNvPr id="86" name="Resim 85">
          <a:extLst>
            <a:ext uri="{FF2B5EF4-FFF2-40B4-BE49-F238E27FC236}">
              <a16:creationId xmlns:a16="http://schemas.microsoft.com/office/drawing/2014/main" id="{0919646B-F734-1931-0426-BA5975419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" y="23574375"/>
          <a:ext cx="864000" cy="576000"/>
        </a:xfrm>
        <a:prstGeom prst="rect">
          <a:avLst/>
        </a:prstGeom>
      </xdr:spPr>
    </xdr:pic>
    <xdr:clientData/>
  </xdr:oneCellAnchor>
  <xdr:oneCellAnchor>
    <xdr:from>
      <xdr:col>2</xdr:col>
      <xdr:colOff>102869</xdr:colOff>
      <xdr:row>38</xdr:row>
      <xdr:rowOff>22860</xdr:rowOff>
    </xdr:from>
    <xdr:ext cx="762001" cy="628560"/>
    <xdr:pic>
      <xdr:nvPicPr>
        <xdr:cNvPr id="87" name="Resim 86">
          <a:extLst>
            <a:ext uri="{FF2B5EF4-FFF2-40B4-BE49-F238E27FC236}">
              <a16:creationId xmlns:a16="http://schemas.microsoft.com/office/drawing/2014/main" id="{82736B06-98C3-B74E-941B-EB0F03444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09" y="24208740"/>
          <a:ext cx="762001" cy="62856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39</xdr:row>
      <xdr:rowOff>83820</xdr:rowOff>
    </xdr:from>
    <xdr:ext cx="720000" cy="548640"/>
    <xdr:pic>
      <xdr:nvPicPr>
        <xdr:cNvPr id="88" name="Resim 87">
          <a:extLst>
            <a:ext uri="{FF2B5EF4-FFF2-40B4-BE49-F238E27FC236}">
              <a16:creationId xmlns:a16="http://schemas.microsoft.com/office/drawing/2014/main" id="{7ED2508B-D66F-D11E-FD62-7BF054CAE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" y="24947880"/>
          <a:ext cx="720000" cy="54864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40</xdr:row>
      <xdr:rowOff>114300</xdr:rowOff>
    </xdr:from>
    <xdr:ext cx="720000" cy="556260"/>
    <xdr:pic>
      <xdr:nvPicPr>
        <xdr:cNvPr id="89" name="Resim 88">
          <a:extLst>
            <a:ext uri="{FF2B5EF4-FFF2-40B4-BE49-F238E27FC236}">
              <a16:creationId xmlns:a16="http://schemas.microsoft.com/office/drawing/2014/main" id="{D50C3228-757F-7120-DC4D-C4D1DC40C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" y="25656540"/>
          <a:ext cx="720000" cy="556260"/>
        </a:xfrm>
        <a:prstGeom prst="rect">
          <a:avLst/>
        </a:prstGeom>
      </xdr:spPr>
    </xdr:pic>
    <xdr:clientData/>
  </xdr:oneCellAnchor>
  <xdr:oneCellAnchor>
    <xdr:from>
      <xdr:col>2</xdr:col>
      <xdr:colOff>146685</xdr:colOff>
      <xdr:row>41</xdr:row>
      <xdr:rowOff>38099</xdr:rowOff>
    </xdr:from>
    <xdr:ext cx="720000" cy="588555"/>
    <xdr:pic>
      <xdr:nvPicPr>
        <xdr:cNvPr id="90" name="Resim 89">
          <a:extLst>
            <a:ext uri="{FF2B5EF4-FFF2-40B4-BE49-F238E27FC236}">
              <a16:creationId xmlns:a16="http://schemas.microsoft.com/office/drawing/2014/main" id="{6F504079-D757-D16E-83E8-19507662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6258519"/>
          <a:ext cx="720000" cy="58855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43</xdr:row>
      <xdr:rowOff>37375</xdr:rowOff>
    </xdr:from>
    <xdr:ext cx="895350" cy="596900"/>
    <xdr:pic>
      <xdr:nvPicPr>
        <xdr:cNvPr id="91" name="Resim 90">
          <a:extLst>
            <a:ext uri="{FF2B5EF4-FFF2-40B4-BE49-F238E27FC236}">
              <a16:creationId xmlns:a16="http://schemas.microsoft.com/office/drawing/2014/main" id="{AF359565-C5FB-7C03-A613-2C429B051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" y="27614155"/>
          <a:ext cx="895350" cy="596900"/>
        </a:xfrm>
        <a:prstGeom prst="rect">
          <a:avLst/>
        </a:prstGeom>
      </xdr:spPr>
    </xdr:pic>
    <xdr:clientData/>
  </xdr:oneCellAnchor>
  <xdr:oneCellAnchor>
    <xdr:from>
      <xdr:col>2</xdr:col>
      <xdr:colOff>91440</xdr:colOff>
      <xdr:row>44</xdr:row>
      <xdr:rowOff>30480</xdr:rowOff>
    </xdr:from>
    <xdr:ext cx="800760" cy="541020"/>
    <xdr:pic>
      <xdr:nvPicPr>
        <xdr:cNvPr id="92" name="Resim 91">
          <a:extLst>
            <a:ext uri="{FF2B5EF4-FFF2-40B4-BE49-F238E27FC236}">
              <a16:creationId xmlns:a16="http://schemas.microsoft.com/office/drawing/2014/main" id="{7D6AF592-2C63-1307-EA90-53619F7F6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28285440"/>
          <a:ext cx="800760" cy="541020"/>
        </a:xfrm>
        <a:prstGeom prst="rect">
          <a:avLst/>
        </a:prstGeom>
      </xdr:spPr>
    </xdr:pic>
    <xdr:clientData/>
  </xdr:oneCellAnchor>
  <xdr:oneCellAnchor>
    <xdr:from>
      <xdr:col>2</xdr:col>
      <xdr:colOff>19052</xdr:colOff>
      <xdr:row>45</xdr:row>
      <xdr:rowOff>56787</xdr:rowOff>
    </xdr:from>
    <xdr:ext cx="866773" cy="577488"/>
    <xdr:pic>
      <xdr:nvPicPr>
        <xdr:cNvPr id="93" name="Resim 92">
          <a:extLst>
            <a:ext uri="{FF2B5EF4-FFF2-40B4-BE49-F238E27FC236}">
              <a16:creationId xmlns:a16="http://schemas.microsoft.com/office/drawing/2014/main" id="{3073A913-14E4-4958-7071-3A45A1D7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2" y="28989927"/>
          <a:ext cx="866773" cy="577488"/>
        </a:xfrm>
        <a:prstGeom prst="rect">
          <a:avLst/>
        </a:prstGeom>
      </xdr:spPr>
    </xdr:pic>
    <xdr:clientData/>
  </xdr:oneCellAnchor>
  <xdr:oneCellAnchor>
    <xdr:from>
      <xdr:col>2</xdr:col>
      <xdr:colOff>60960</xdr:colOff>
      <xdr:row>46</xdr:row>
      <xdr:rowOff>76200</xdr:rowOff>
    </xdr:from>
    <xdr:ext cx="847726" cy="548640"/>
    <xdr:pic>
      <xdr:nvPicPr>
        <xdr:cNvPr id="94" name="Resim 93">
          <a:extLst>
            <a:ext uri="{FF2B5EF4-FFF2-40B4-BE49-F238E27FC236}">
              <a16:creationId xmlns:a16="http://schemas.microsoft.com/office/drawing/2014/main" id="{72AA70E6-F944-61E7-D0DB-C470740BD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687520"/>
          <a:ext cx="847726" cy="548640"/>
        </a:xfrm>
        <a:prstGeom prst="rect">
          <a:avLst/>
        </a:prstGeom>
      </xdr:spPr>
    </xdr:pic>
    <xdr:clientData/>
  </xdr:oneCellAnchor>
  <xdr:oneCellAnchor>
    <xdr:from>
      <xdr:col>2</xdr:col>
      <xdr:colOff>51435</xdr:colOff>
      <xdr:row>47</xdr:row>
      <xdr:rowOff>44074</xdr:rowOff>
    </xdr:from>
    <xdr:ext cx="876300" cy="584485"/>
    <xdr:pic>
      <xdr:nvPicPr>
        <xdr:cNvPr id="95" name="Resim 94">
          <a:extLst>
            <a:ext uri="{FF2B5EF4-FFF2-40B4-BE49-F238E27FC236}">
              <a16:creationId xmlns:a16="http://schemas.microsoft.com/office/drawing/2014/main" id="{8A861BDD-C7AE-9461-3CA1-96DD52DF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30333574"/>
          <a:ext cx="876300" cy="584485"/>
        </a:xfrm>
        <a:prstGeom prst="rect">
          <a:avLst/>
        </a:prstGeom>
      </xdr:spPr>
    </xdr:pic>
    <xdr:clientData/>
  </xdr:oneCellAnchor>
  <xdr:oneCellAnchor>
    <xdr:from>
      <xdr:col>2</xdr:col>
      <xdr:colOff>9527</xdr:colOff>
      <xdr:row>49</xdr:row>
      <xdr:rowOff>34015</xdr:rowOff>
    </xdr:from>
    <xdr:ext cx="885824" cy="590734"/>
    <xdr:pic>
      <xdr:nvPicPr>
        <xdr:cNvPr id="96" name="Resim 95">
          <a:extLst>
            <a:ext uri="{FF2B5EF4-FFF2-40B4-BE49-F238E27FC236}">
              <a16:creationId xmlns:a16="http://schemas.microsoft.com/office/drawing/2014/main" id="{A3E4923F-A5E3-D824-BE3C-3AA6A4544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7" y="31679875"/>
          <a:ext cx="885824" cy="590734"/>
        </a:xfrm>
        <a:prstGeom prst="rect">
          <a:avLst/>
        </a:prstGeom>
      </xdr:spPr>
    </xdr:pic>
    <xdr:clientData/>
  </xdr:oneCellAnchor>
  <xdr:oneCellAnchor>
    <xdr:from>
      <xdr:col>2</xdr:col>
      <xdr:colOff>38102</xdr:colOff>
      <xdr:row>50</xdr:row>
      <xdr:rowOff>48298</xdr:rowOff>
    </xdr:from>
    <xdr:ext cx="838198" cy="557402"/>
    <xdr:pic>
      <xdr:nvPicPr>
        <xdr:cNvPr id="97" name="Resim 96">
          <a:extLst>
            <a:ext uri="{FF2B5EF4-FFF2-40B4-BE49-F238E27FC236}">
              <a16:creationId xmlns:a16="http://schemas.microsoft.com/office/drawing/2014/main" id="{3A0610E1-A1D5-2D6D-7756-B59D3E234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2" y="32372338"/>
          <a:ext cx="838198" cy="557402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53</xdr:row>
      <xdr:rowOff>43916</xdr:rowOff>
    </xdr:from>
    <xdr:ext cx="838199" cy="533208"/>
    <xdr:pic>
      <xdr:nvPicPr>
        <xdr:cNvPr id="98" name="Resim 97">
          <a:extLst>
            <a:ext uri="{FF2B5EF4-FFF2-40B4-BE49-F238E27FC236}">
              <a16:creationId xmlns:a16="http://schemas.microsoft.com/office/drawing/2014/main" id="{B9D95B06-5E50-C9DA-101E-6C8F8C66E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16" y="34402496"/>
          <a:ext cx="838199" cy="533208"/>
        </a:xfrm>
        <a:prstGeom prst="rect">
          <a:avLst/>
        </a:prstGeom>
      </xdr:spPr>
    </xdr:pic>
    <xdr:clientData/>
  </xdr:oneCellAnchor>
  <xdr:oneCellAnchor>
    <xdr:from>
      <xdr:col>2</xdr:col>
      <xdr:colOff>28577</xdr:colOff>
      <xdr:row>52</xdr:row>
      <xdr:rowOff>39410</xdr:rowOff>
    </xdr:from>
    <xdr:ext cx="876298" cy="585339"/>
    <xdr:pic>
      <xdr:nvPicPr>
        <xdr:cNvPr id="99" name="Resim 98">
          <a:extLst>
            <a:ext uri="{FF2B5EF4-FFF2-40B4-BE49-F238E27FC236}">
              <a16:creationId xmlns:a16="http://schemas.microsoft.com/office/drawing/2014/main" id="{7315DFE9-B513-0502-0DAA-2286F3724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17" y="33719810"/>
          <a:ext cx="876298" cy="585339"/>
        </a:xfrm>
        <a:prstGeom prst="rect">
          <a:avLst/>
        </a:prstGeom>
      </xdr:spPr>
    </xdr:pic>
    <xdr:clientData/>
  </xdr:oneCellAnchor>
  <xdr:oneCellAnchor>
    <xdr:from>
      <xdr:col>2</xdr:col>
      <xdr:colOff>93381</xdr:colOff>
      <xdr:row>34</xdr:row>
      <xdr:rowOff>91331</xdr:rowOff>
    </xdr:from>
    <xdr:ext cx="799740" cy="525889"/>
    <xdr:pic>
      <xdr:nvPicPr>
        <xdr:cNvPr id="100" name="Resim 99">
          <a:extLst>
            <a:ext uri="{FF2B5EF4-FFF2-40B4-BE49-F238E27FC236}">
              <a16:creationId xmlns:a16="http://schemas.microsoft.com/office/drawing/2014/main" id="{56A4791B-06B7-B34A-2A51-1FEBB877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221" y="21564491"/>
          <a:ext cx="799740" cy="525889"/>
        </a:xfrm>
        <a:prstGeom prst="rect">
          <a:avLst/>
        </a:prstGeom>
      </xdr:spPr>
    </xdr:pic>
    <xdr:clientData/>
  </xdr:oneCellAnchor>
  <xdr:oneCellAnchor>
    <xdr:from>
      <xdr:col>2</xdr:col>
      <xdr:colOff>78104</xdr:colOff>
      <xdr:row>35</xdr:row>
      <xdr:rowOff>47285</xdr:rowOff>
    </xdr:from>
    <xdr:ext cx="828675" cy="585175"/>
    <xdr:pic>
      <xdr:nvPicPr>
        <xdr:cNvPr id="101" name="Resim 100">
          <a:extLst>
            <a:ext uri="{FF2B5EF4-FFF2-40B4-BE49-F238E27FC236}">
              <a16:creationId xmlns:a16="http://schemas.microsoft.com/office/drawing/2014/main" id="{795CE7E7-9C8A-C2D4-EDD9-4C54BDFC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944" y="22198625"/>
          <a:ext cx="828675" cy="585175"/>
        </a:xfrm>
        <a:prstGeom prst="rect">
          <a:avLst/>
        </a:prstGeom>
      </xdr:spPr>
    </xdr:pic>
    <xdr:clientData/>
  </xdr:oneCellAnchor>
  <xdr:oneCellAnchor>
    <xdr:from>
      <xdr:col>2</xdr:col>
      <xdr:colOff>89857</xdr:colOff>
      <xdr:row>42</xdr:row>
      <xdr:rowOff>37075</xdr:rowOff>
    </xdr:from>
    <xdr:ext cx="763799" cy="591576"/>
    <xdr:pic>
      <xdr:nvPicPr>
        <xdr:cNvPr id="102" name="Resim 101">
          <a:extLst>
            <a:ext uri="{FF2B5EF4-FFF2-40B4-BE49-F238E27FC236}">
              <a16:creationId xmlns:a16="http://schemas.microsoft.com/office/drawing/2014/main" id="{E37D1D3F-D2CB-9B36-71DE-6F759D33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882" y="27545275"/>
          <a:ext cx="763799" cy="591576"/>
        </a:xfrm>
        <a:prstGeom prst="rect">
          <a:avLst/>
        </a:prstGeom>
      </xdr:spPr>
    </xdr:pic>
    <xdr:clientData/>
  </xdr:oneCellAnchor>
  <xdr:oneCellAnchor>
    <xdr:from>
      <xdr:col>2</xdr:col>
      <xdr:colOff>118533</xdr:colOff>
      <xdr:row>51</xdr:row>
      <xdr:rowOff>16933</xdr:rowOff>
    </xdr:from>
    <xdr:ext cx="830578" cy="557402"/>
    <xdr:pic>
      <xdr:nvPicPr>
        <xdr:cNvPr id="103" name="Resim 102">
          <a:extLst>
            <a:ext uri="{FF2B5EF4-FFF2-40B4-BE49-F238E27FC236}">
              <a16:creationId xmlns:a16="http://schemas.microsoft.com/office/drawing/2014/main" id="{3A0610E1-A1D5-2D6D-7756-B59D3E234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373" y="33019153"/>
          <a:ext cx="830578" cy="557402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43</xdr:row>
      <xdr:rowOff>37375</xdr:rowOff>
    </xdr:from>
    <xdr:ext cx="895350" cy="596900"/>
    <xdr:pic>
      <xdr:nvPicPr>
        <xdr:cNvPr id="104" name="Resim 103">
          <a:extLst>
            <a:ext uri="{FF2B5EF4-FFF2-40B4-BE49-F238E27FC236}">
              <a16:creationId xmlns:a16="http://schemas.microsoft.com/office/drawing/2014/main" id="{AF359565-C5FB-7C03-A613-2C429B051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" y="27614155"/>
          <a:ext cx="895350" cy="596900"/>
        </a:xfrm>
        <a:prstGeom prst="rect">
          <a:avLst/>
        </a:prstGeom>
      </xdr:spPr>
    </xdr:pic>
    <xdr:clientData/>
  </xdr:oneCellAnchor>
  <xdr:oneCellAnchor>
    <xdr:from>
      <xdr:col>2</xdr:col>
      <xdr:colOff>19052</xdr:colOff>
      <xdr:row>45</xdr:row>
      <xdr:rowOff>56787</xdr:rowOff>
    </xdr:from>
    <xdr:ext cx="866773" cy="577488"/>
    <xdr:pic>
      <xdr:nvPicPr>
        <xdr:cNvPr id="105" name="Resim 104">
          <a:extLst>
            <a:ext uri="{FF2B5EF4-FFF2-40B4-BE49-F238E27FC236}">
              <a16:creationId xmlns:a16="http://schemas.microsoft.com/office/drawing/2014/main" id="{3073A913-14E4-4958-7071-3A45A1D7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2" y="28989927"/>
          <a:ext cx="866773" cy="577488"/>
        </a:xfrm>
        <a:prstGeom prst="rect">
          <a:avLst/>
        </a:prstGeom>
      </xdr:spPr>
    </xdr:pic>
    <xdr:clientData/>
  </xdr:oneCellAnchor>
  <xdr:oneCellAnchor>
    <xdr:from>
      <xdr:col>2</xdr:col>
      <xdr:colOff>28577</xdr:colOff>
      <xdr:row>52</xdr:row>
      <xdr:rowOff>39410</xdr:rowOff>
    </xdr:from>
    <xdr:ext cx="876298" cy="585339"/>
    <xdr:pic>
      <xdr:nvPicPr>
        <xdr:cNvPr id="106" name="Resim 105">
          <a:extLst>
            <a:ext uri="{FF2B5EF4-FFF2-40B4-BE49-F238E27FC236}">
              <a16:creationId xmlns:a16="http://schemas.microsoft.com/office/drawing/2014/main" id="{7315DFE9-B513-0502-0DAA-2286F3724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17" y="33719810"/>
          <a:ext cx="876298" cy="585339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48</xdr:row>
      <xdr:rowOff>57150</xdr:rowOff>
    </xdr:from>
    <xdr:ext cx="720000" cy="560070"/>
    <xdr:pic>
      <xdr:nvPicPr>
        <xdr:cNvPr id="107" name="Resim 106">
          <a:extLst>
            <a:ext uri="{FF2B5EF4-FFF2-40B4-BE49-F238E27FC236}">
              <a16:creationId xmlns:a16="http://schemas.microsoft.com/office/drawing/2014/main" id="{BE460F66-EB3E-0831-5644-A45A17B26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" y="31024830"/>
          <a:ext cx="720000" cy="560070"/>
        </a:xfrm>
        <a:prstGeom prst="rect">
          <a:avLst/>
        </a:prstGeom>
      </xdr:spPr>
    </xdr:pic>
    <xdr:clientData/>
  </xdr:one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13</xdr:row>
      <xdr:rowOff>304800</xdr:rowOff>
    </xdr:to>
    <xdr:sp macro="" textlink="">
      <xdr:nvSpPr>
        <xdr:cNvPr id="1026" name="AutoShape 2" descr="https://www.pastanbul.com.tr/wp-content/uploads/2026/07/limon-bahcesi-510x510.webp"/>
        <xdr:cNvSpPr>
          <a:spLocks noChangeAspect="1" noChangeArrowheads="1"/>
        </xdr:cNvSpPr>
      </xdr:nvSpPr>
      <xdr:spPr bwMode="auto">
        <a:xfrm>
          <a:off x="9075420" y="79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10</xdr:row>
      <xdr:rowOff>304800</xdr:rowOff>
    </xdr:to>
    <xdr:sp macro="" textlink="">
      <xdr:nvSpPr>
        <xdr:cNvPr id="1027" name="AutoShape 3" descr="https://www.pastanbul.com.tr/wp-content/uploads/2026/07/limon-bahcesi-510x510.webp"/>
        <xdr:cNvSpPr>
          <a:spLocks noChangeAspect="1" noChangeArrowheads="1"/>
        </xdr:cNvSpPr>
      </xdr:nvSpPr>
      <xdr:spPr bwMode="auto">
        <a:xfrm>
          <a:off x="907542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304800</xdr:colOff>
      <xdr:row>13</xdr:row>
      <xdr:rowOff>304800</xdr:rowOff>
    </xdr:to>
    <xdr:sp macro="" textlink="">
      <xdr:nvSpPr>
        <xdr:cNvPr id="1028" name="AutoShape 4" descr="https://www.pastanbul.com.tr/wp-content/uploads/2026/07/limon-bahcesi-247x296.webp"/>
        <xdr:cNvSpPr>
          <a:spLocks noChangeAspect="1" noChangeArrowheads="1"/>
        </xdr:cNvSpPr>
      </xdr:nvSpPr>
      <xdr:spPr bwMode="auto">
        <a:xfrm>
          <a:off x="10325100" y="79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</xdr:colOff>
      <xdr:row>13</xdr:row>
      <xdr:rowOff>76200</xdr:rowOff>
    </xdr:from>
    <xdr:to>
      <xdr:col>2</xdr:col>
      <xdr:colOff>923925</xdr:colOff>
      <xdr:row>13</xdr:row>
      <xdr:rowOff>638175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7972425"/>
          <a:ext cx="82867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4"/>
  <sheetViews>
    <sheetView tabSelected="1" topLeftCell="A46" zoomScale="80" zoomScaleNormal="80" workbookViewId="0">
      <selection activeCell="O37" sqref="O37"/>
    </sheetView>
  </sheetViews>
  <sheetFormatPr defaultColWidth="9.109375" defaultRowHeight="14.4" x14ac:dyDescent="0.3"/>
  <cols>
    <col min="2" max="2" width="4.88671875" style="19" customWidth="1"/>
    <col min="3" max="3" width="15.109375" customWidth="1"/>
    <col min="4" max="4" width="35.5546875" customWidth="1"/>
    <col min="5" max="5" width="7.88671875" bestFit="1" customWidth="1"/>
    <col min="6" max="6" width="8.6640625" bestFit="1" customWidth="1"/>
    <col min="7" max="7" width="7.88671875" bestFit="1" customWidth="1"/>
    <col min="8" max="8" width="10.109375" bestFit="1" customWidth="1"/>
    <col min="9" max="9" width="10.5546875" bestFit="1" customWidth="1"/>
    <col min="10" max="10" width="4.33203125" bestFit="1" customWidth="1"/>
  </cols>
  <sheetData>
    <row r="2" spans="2:10" ht="34.200000000000003" customHeight="1" x14ac:dyDescent="0.3">
      <c r="B2" s="17"/>
      <c r="C2" s="20" t="s">
        <v>104</v>
      </c>
      <c r="D2" s="20"/>
      <c r="E2" s="20"/>
      <c r="F2" s="20"/>
      <c r="G2" s="20"/>
      <c r="H2" s="20"/>
      <c r="I2" s="20"/>
      <c r="J2" s="20"/>
    </row>
    <row r="3" spans="2:10" s="10" customFormat="1" ht="40.200000000000003" customHeight="1" x14ac:dyDescent="0.3">
      <c r="B3" s="16" t="s">
        <v>107</v>
      </c>
      <c r="C3" s="6"/>
      <c r="D3" s="7" t="s">
        <v>103</v>
      </c>
      <c r="E3" s="8" t="s">
        <v>102</v>
      </c>
      <c r="F3" s="8" t="s">
        <v>101</v>
      </c>
      <c r="G3" s="9" t="s">
        <v>100</v>
      </c>
      <c r="H3" s="9" t="s">
        <v>99</v>
      </c>
      <c r="I3" s="9" t="s">
        <v>98</v>
      </c>
      <c r="J3" s="9" t="s">
        <v>105</v>
      </c>
    </row>
    <row r="4" spans="2:10" ht="53.4" customHeight="1" x14ac:dyDescent="0.3">
      <c r="B4" s="18">
        <v>1</v>
      </c>
      <c r="C4" s="11"/>
      <c r="D4" s="12" t="s">
        <v>97</v>
      </c>
      <c r="E4" s="13">
        <v>12</v>
      </c>
      <c r="F4" s="13" t="s">
        <v>95</v>
      </c>
      <c r="G4" s="13" t="s">
        <v>0</v>
      </c>
      <c r="H4" s="14">
        <v>1020</v>
      </c>
      <c r="I4" s="14">
        <v>85</v>
      </c>
      <c r="J4" s="15">
        <v>0.01</v>
      </c>
    </row>
    <row r="5" spans="2:10" ht="53.4" customHeight="1" x14ac:dyDescent="0.3">
      <c r="B5" s="18">
        <v>2</v>
      </c>
      <c r="C5" s="4"/>
      <c r="D5" s="3" t="s">
        <v>96</v>
      </c>
      <c r="E5" s="2">
        <v>12</v>
      </c>
      <c r="F5" s="2" t="s">
        <v>95</v>
      </c>
      <c r="G5" s="2" t="s">
        <v>0</v>
      </c>
      <c r="H5" s="1">
        <v>1020</v>
      </c>
      <c r="I5" s="1">
        <v>85</v>
      </c>
      <c r="J5" s="15">
        <v>0.01</v>
      </c>
    </row>
    <row r="6" spans="2:10" ht="53.4" customHeight="1" x14ac:dyDescent="0.3">
      <c r="B6" s="18">
        <v>3</v>
      </c>
      <c r="C6" s="4"/>
      <c r="D6" s="5" t="s">
        <v>94</v>
      </c>
      <c r="E6" s="2">
        <v>12</v>
      </c>
      <c r="F6" s="2" t="s">
        <v>47</v>
      </c>
      <c r="G6" s="2" t="s">
        <v>0</v>
      </c>
      <c r="H6" s="1">
        <v>1074</v>
      </c>
      <c r="I6" s="1">
        <v>89.5</v>
      </c>
      <c r="J6" s="15">
        <v>0.01</v>
      </c>
    </row>
    <row r="7" spans="2:10" ht="53.4" customHeight="1" x14ac:dyDescent="0.3">
      <c r="B7" s="18">
        <v>4</v>
      </c>
      <c r="C7" s="4"/>
      <c r="D7" s="3" t="s">
        <v>93</v>
      </c>
      <c r="E7" s="2">
        <v>12</v>
      </c>
      <c r="F7" s="2" t="s">
        <v>7</v>
      </c>
      <c r="G7" s="2" t="s">
        <v>92</v>
      </c>
      <c r="H7" s="1">
        <v>1420.2</v>
      </c>
      <c r="I7" s="1">
        <v>118.35</v>
      </c>
      <c r="J7" s="15">
        <v>0.01</v>
      </c>
    </row>
    <row r="8" spans="2:10" ht="53.4" customHeight="1" x14ac:dyDescent="0.3">
      <c r="B8" s="18">
        <v>5</v>
      </c>
      <c r="C8" s="4"/>
      <c r="D8" s="5" t="s">
        <v>91</v>
      </c>
      <c r="E8" s="2">
        <v>10</v>
      </c>
      <c r="F8" s="2" t="s">
        <v>72</v>
      </c>
      <c r="G8" s="2" t="s">
        <v>25</v>
      </c>
      <c r="H8" s="1">
        <v>990</v>
      </c>
      <c r="I8" s="1">
        <v>99</v>
      </c>
      <c r="J8" s="15">
        <v>0.01</v>
      </c>
    </row>
    <row r="9" spans="2:10" ht="53.4" customHeight="1" x14ac:dyDescent="0.3">
      <c r="B9" s="18">
        <v>6</v>
      </c>
      <c r="C9" s="4"/>
      <c r="D9" s="5" t="s">
        <v>90</v>
      </c>
      <c r="E9" s="2">
        <v>12</v>
      </c>
      <c r="F9" s="2" t="s">
        <v>89</v>
      </c>
      <c r="G9" s="2" t="s">
        <v>18</v>
      </c>
      <c r="H9" s="1">
        <f>I9*E9</f>
        <v>1170</v>
      </c>
      <c r="I9" s="1">
        <v>97.5</v>
      </c>
      <c r="J9" s="15">
        <v>0.01</v>
      </c>
    </row>
    <row r="10" spans="2:10" ht="53.4" customHeight="1" x14ac:dyDescent="0.3">
      <c r="B10" s="18">
        <v>7</v>
      </c>
      <c r="C10" s="4"/>
      <c r="D10" s="3" t="s">
        <v>88</v>
      </c>
      <c r="E10" s="2">
        <v>9</v>
      </c>
      <c r="F10" s="2" t="s">
        <v>87</v>
      </c>
      <c r="G10" s="2" t="s">
        <v>86</v>
      </c>
      <c r="H10" s="1">
        <f>I10*E10</f>
        <v>922.5</v>
      </c>
      <c r="I10" s="1">
        <v>102.5</v>
      </c>
      <c r="J10" s="15">
        <v>0.01</v>
      </c>
    </row>
    <row r="11" spans="2:10" ht="53.4" customHeight="1" x14ac:dyDescent="0.3">
      <c r="B11" s="18">
        <v>8</v>
      </c>
      <c r="C11" s="4"/>
      <c r="D11" s="3" t="s">
        <v>85</v>
      </c>
      <c r="E11" s="2">
        <v>9</v>
      </c>
      <c r="F11" s="2" t="s">
        <v>84</v>
      </c>
      <c r="G11" s="2" t="s">
        <v>9</v>
      </c>
      <c r="H11" s="1">
        <v>1170</v>
      </c>
      <c r="I11" s="1">
        <v>130</v>
      </c>
      <c r="J11" s="15">
        <v>0.01</v>
      </c>
    </row>
    <row r="12" spans="2:10" ht="53.4" customHeight="1" x14ac:dyDescent="0.3">
      <c r="B12" s="18">
        <v>9</v>
      </c>
      <c r="C12" s="4"/>
      <c r="D12" s="5" t="s">
        <v>83</v>
      </c>
      <c r="E12" s="2">
        <v>8</v>
      </c>
      <c r="F12" s="2" t="s">
        <v>82</v>
      </c>
      <c r="G12" s="2" t="s">
        <v>81</v>
      </c>
      <c r="H12" s="1">
        <v>1160</v>
      </c>
      <c r="I12" s="1">
        <v>140</v>
      </c>
      <c r="J12" s="15">
        <v>0.01</v>
      </c>
    </row>
    <row r="13" spans="2:10" ht="53.4" customHeight="1" x14ac:dyDescent="0.3">
      <c r="B13" s="18">
        <v>10</v>
      </c>
      <c r="C13" s="4"/>
      <c r="D13" s="5" t="s">
        <v>80</v>
      </c>
      <c r="E13" s="2">
        <v>12</v>
      </c>
      <c r="F13" s="2" t="s">
        <v>79</v>
      </c>
      <c r="G13" s="2" t="s">
        <v>78</v>
      </c>
      <c r="H13" s="1">
        <v>1800</v>
      </c>
      <c r="I13" s="1">
        <v>140</v>
      </c>
      <c r="J13" s="15">
        <v>0.01</v>
      </c>
    </row>
    <row r="14" spans="2:10" ht="53.4" customHeight="1" x14ac:dyDescent="0.3">
      <c r="B14" s="18">
        <v>11</v>
      </c>
      <c r="C14" s="4"/>
      <c r="D14" s="5" t="s">
        <v>108</v>
      </c>
      <c r="E14" s="2">
        <v>15</v>
      </c>
      <c r="F14" s="2" t="s">
        <v>109</v>
      </c>
      <c r="G14" s="2" t="s">
        <v>15</v>
      </c>
      <c r="H14" s="1">
        <v>1875</v>
      </c>
      <c r="I14" s="1">
        <v>125</v>
      </c>
      <c r="J14" s="15">
        <v>0.01</v>
      </c>
    </row>
    <row r="15" spans="2:10" ht="53.4" customHeight="1" x14ac:dyDescent="0.3">
      <c r="B15" s="18">
        <v>12</v>
      </c>
      <c r="C15" s="4"/>
      <c r="D15" s="5" t="s">
        <v>77</v>
      </c>
      <c r="E15" s="2">
        <v>12</v>
      </c>
      <c r="F15" s="2" t="s">
        <v>76</v>
      </c>
      <c r="G15" s="2" t="s">
        <v>9</v>
      </c>
      <c r="H15" s="1">
        <v>1560</v>
      </c>
      <c r="I15" s="1">
        <v>130</v>
      </c>
      <c r="J15" s="15">
        <v>0.01</v>
      </c>
    </row>
    <row r="16" spans="2:10" ht="53.4" customHeight="1" x14ac:dyDescent="0.3">
      <c r="B16" s="18">
        <v>13</v>
      </c>
      <c r="C16" s="4"/>
      <c r="D16" s="5" t="s">
        <v>75</v>
      </c>
      <c r="E16" s="2">
        <v>9</v>
      </c>
      <c r="F16" s="2" t="s">
        <v>19</v>
      </c>
      <c r="G16" s="2" t="s">
        <v>12</v>
      </c>
      <c r="H16" s="1">
        <f>I16*E16</f>
        <v>855</v>
      </c>
      <c r="I16" s="1">
        <v>95</v>
      </c>
      <c r="J16" s="15">
        <v>0.01</v>
      </c>
    </row>
    <row r="17" spans="2:10" ht="53.4" customHeight="1" x14ac:dyDescent="0.3">
      <c r="B17" s="18">
        <v>14</v>
      </c>
      <c r="C17" s="4"/>
      <c r="D17" s="5" t="s">
        <v>74</v>
      </c>
      <c r="E17" s="2">
        <v>9</v>
      </c>
      <c r="F17" s="2" t="s">
        <v>19</v>
      </c>
      <c r="G17" s="2" t="s">
        <v>12</v>
      </c>
      <c r="H17" s="1">
        <f>I17*E17</f>
        <v>801</v>
      </c>
      <c r="I17" s="1">
        <v>89</v>
      </c>
      <c r="J17" s="15">
        <v>0.01</v>
      </c>
    </row>
    <row r="18" spans="2:10" ht="53.4" customHeight="1" x14ac:dyDescent="0.3">
      <c r="B18" s="18">
        <v>15</v>
      </c>
      <c r="C18" s="4"/>
      <c r="D18" s="5" t="s">
        <v>73</v>
      </c>
      <c r="E18" s="2">
        <v>10</v>
      </c>
      <c r="F18" s="2" t="s">
        <v>72</v>
      </c>
      <c r="G18" s="2" t="s">
        <v>25</v>
      </c>
      <c r="H18" s="1">
        <f>I18*E18</f>
        <v>1085</v>
      </c>
      <c r="I18" s="1">
        <v>108.5</v>
      </c>
      <c r="J18" s="15">
        <v>0.01</v>
      </c>
    </row>
    <row r="19" spans="2:10" ht="53.4" customHeight="1" x14ac:dyDescent="0.3">
      <c r="B19" s="18">
        <v>16</v>
      </c>
      <c r="C19" s="4"/>
      <c r="D19" s="5" t="s">
        <v>71</v>
      </c>
      <c r="E19" s="2">
        <v>12</v>
      </c>
      <c r="F19" s="2" t="s">
        <v>47</v>
      </c>
      <c r="G19" s="2" t="s">
        <v>0</v>
      </c>
      <c r="H19" s="1">
        <f>I19*E19</f>
        <v>1020</v>
      </c>
      <c r="I19" s="1">
        <v>85</v>
      </c>
      <c r="J19" s="15">
        <v>0.01</v>
      </c>
    </row>
    <row r="20" spans="2:10" ht="53.4" customHeight="1" x14ac:dyDescent="0.3">
      <c r="B20" s="18">
        <v>17</v>
      </c>
      <c r="C20" s="4"/>
      <c r="D20" s="5" t="s">
        <v>70</v>
      </c>
      <c r="E20" s="2">
        <v>9</v>
      </c>
      <c r="F20" s="2" t="s">
        <v>69</v>
      </c>
      <c r="G20" s="2" t="s">
        <v>53</v>
      </c>
      <c r="H20" s="1">
        <v>990</v>
      </c>
      <c r="I20" s="1">
        <v>110</v>
      </c>
      <c r="J20" s="15">
        <v>0.01</v>
      </c>
    </row>
    <row r="21" spans="2:10" ht="53.4" customHeight="1" x14ac:dyDescent="0.3">
      <c r="B21" s="18">
        <v>18</v>
      </c>
      <c r="C21" s="4"/>
      <c r="D21" s="5" t="s">
        <v>68</v>
      </c>
      <c r="E21" s="2">
        <v>12</v>
      </c>
      <c r="F21" s="2" t="s">
        <v>47</v>
      </c>
      <c r="G21" s="2" t="s">
        <v>0</v>
      </c>
      <c r="H21" s="1">
        <f>I21*E21</f>
        <v>1050</v>
      </c>
      <c r="I21" s="1">
        <v>87.5</v>
      </c>
      <c r="J21" s="15">
        <v>0.01</v>
      </c>
    </row>
    <row r="22" spans="2:10" ht="53.4" customHeight="1" x14ac:dyDescent="0.3">
      <c r="B22" s="18">
        <v>19</v>
      </c>
      <c r="C22" s="4"/>
      <c r="D22" s="3" t="s">
        <v>67</v>
      </c>
      <c r="E22" s="2">
        <v>12</v>
      </c>
      <c r="F22" s="2" t="s">
        <v>59</v>
      </c>
      <c r="G22" s="2" t="s">
        <v>6</v>
      </c>
      <c r="H22" s="1">
        <f>I22*E22</f>
        <v>1248</v>
      </c>
      <c r="I22" s="1">
        <v>104</v>
      </c>
      <c r="J22" s="15">
        <v>0.01</v>
      </c>
    </row>
    <row r="23" spans="2:10" ht="53.4" customHeight="1" x14ac:dyDescent="0.3">
      <c r="B23" s="18">
        <v>20</v>
      </c>
      <c r="C23" s="4"/>
      <c r="D23" s="3" t="s">
        <v>66</v>
      </c>
      <c r="E23" s="2">
        <v>9</v>
      </c>
      <c r="F23" s="2" t="s">
        <v>1</v>
      </c>
      <c r="G23" s="2" t="s">
        <v>0</v>
      </c>
      <c r="H23" s="1">
        <f>I23*E23</f>
        <v>1170</v>
      </c>
      <c r="I23" s="1">
        <v>130</v>
      </c>
      <c r="J23" s="15">
        <v>0.01</v>
      </c>
    </row>
    <row r="24" spans="2:10" ht="53.4" customHeight="1" x14ac:dyDescent="0.3">
      <c r="B24" s="18">
        <v>21</v>
      </c>
      <c r="C24" s="4"/>
      <c r="D24" s="5" t="s">
        <v>65</v>
      </c>
      <c r="E24" s="2">
        <v>10</v>
      </c>
      <c r="F24" s="2" t="s">
        <v>19</v>
      </c>
      <c r="G24" s="2" t="s">
        <v>18</v>
      </c>
      <c r="H24" s="1">
        <f>I24*E24</f>
        <v>850</v>
      </c>
      <c r="I24" s="1">
        <v>85</v>
      </c>
      <c r="J24" s="15">
        <v>0.01</v>
      </c>
    </row>
    <row r="25" spans="2:10" ht="53.4" customHeight="1" x14ac:dyDescent="0.3">
      <c r="B25" s="18">
        <v>22</v>
      </c>
      <c r="C25" s="4"/>
      <c r="D25" s="5" t="s">
        <v>64</v>
      </c>
      <c r="E25" s="2">
        <v>12</v>
      </c>
      <c r="F25" s="2" t="s">
        <v>63</v>
      </c>
      <c r="G25" s="2" t="s">
        <v>21</v>
      </c>
      <c r="H25" s="1">
        <f>I25*E25</f>
        <v>1056</v>
      </c>
      <c r="I25" s="1">
        <v>88</v>
      </c>
      <c r="J25" s="15">
        <v>0.01</v>
      </c>
    </row>
    <row r="26" spans="2:10" ht="53.4" customHeight="1" x14ac:dyDescent="0.3">
      <c r="B26" s="18">
        <v>23</v>
      </c>
      <c r="C26" s="4"/>
      <c r="D26" s="5" t="s">
        <v>62</v>
      </c>
      <c r="E26" s="2">
        <v>9</v>
      </c>
      <c r="F26" s="2" t="s">
        <v>61</v>
      </c>
      <c r="G26" s="2" t="s">
        <v>21</v>
      </c>
      <c r="H26" s="1">
        <v>945</v>
      </c>
      <c r="I26" s="1">
        <v>105</v>
      </c>
      <c r="J26" s="15">
        <v>0.01</v>
      </c>
    </row>
    <row r="27" spans="2:10" ht="53.4" customHeight="1" x14ac:dyDescent="0.3">
      <c r="B27" s="18">
        <v>24</v>
      </c>
      <c r="C27" s="4"/>
      <c r="D27" s="5" t="s">
        <v>60</v>
      </c>
      <c r="E27" s="2">
        <v>12</v>
      </c>
      <c r="F27" s="2" t="s">
        <v>59</v>
      </c>
      <c r="G27" s="2" t="s">
        <v>6</v>
      </c>
      <c r="H27" s="1">
        <f t="shared" ref="H27:H34" si="0">I27*E27</f>
        <v>1020</v>
      </c>
      <c r="I27" s="1">
        <v>85</v>
      </c>
      <c r="J27" s="15">
        <v>0.01</v>
      </c>
    </row>
    <row r="28" spans="2:10" ht="53.4" customHeight="1" x14ac:dyDescent="0.3">
      <c r="B28" s="18">
        <v>25</v>
      </c>
      <c r="C28" s="4"/>
      <c r="D28" s="5" t="s">
        <v>58</v>
      </c>
      <c r="E28" s="2">
        <v>12</v>
      </c>
      <c r="F28" s="2" t="s">
        <v>16</v>
      </c>
      <c r="G28" s="2" t="s">
        <v>15</v>
      </c>
      <c r="H28" s="1">
        <f t="shared" si="0"/>
        <v>1038</v>
      </c>
      <c r="I28" s="1">
        <v>86.5</v>
      </c>
      <c r="J28" s="15">
        <v>0.01</v>
      </c>
    </row>
    <row r="29" spans="2:10" ht="53.4" customHeight="1" x14ac:dyDescent="0.3">
      <c r="B29" s="18">
        <v>26</v>
      </c>
      <c r="C29" s="4"/>
      <c r="D29" s="5" t="s">
        <v>57</v>
      </c>
      <c r="E29" s="2">
        <v>11</v>
      </c>
      <c r="F29" s="2" t="s">
        <v>56</v>
      </c>
      <c r="G29" s="2" t="s">
        <v>25</v>
      </c>
      <c r="H29" s="1">
        <f t="shared" si="0"/>
        <v>1210</v>
      </c>
      <c r="I29" s="1">
        <v>110</v>
      </c>
      <c r="J29" s="15">
        <v>0.01</v>
      </c>
    </row>
    <row r="30" spans="2:10" ht="53.4" customHeight="1" x14ac:dyDescent="0.3">
      <c r="B30" s="18">
        <v>27</v>
      </c>
      <c r="C30" s="4"/>
      <c r="D30" s="5" t="s">
        <v>55</v>
      </c>
      <c r="E30" s="2">
        <v>11</v>
      </c>
      <c r="F30" s="2" t="s">
        <v>54</v>
      </c>
      <c r="G30" s="2" t="s">
        <v>53</v>
      </c>
      <c r="H30" s="1">
        <f t="shared" si="0"/>
        <v>1210</v>
      </c>
      <c r="I30" s="1">
        <v>110</v>
      </c>
      <c r="J30" s="15">
        <v>0.01</v>
      </c>
    </row>
    <row r="31" spans="2:10" ht="53.4" customHeight="1" x14ac:dyDescent="0.3">
      <c r="B31" s="18">
        <v>28</v>
      </c>
      <c r="C31" s="4"/>
      <c r="D31" s="5" t="s">
        <v>52</v>
      </c>
      <c r="E31" s="2">
        <v>11</v>
      </c>
      <c r="F31" s="2" t="s">
        <v>51</v>
      </c>
      <c r="G31" s="2" t="s">
        <v>29</v>
      </c>
      <c r="H31" s="1">
        <f t="shared" si="0"/>
        <v>1210</v>
      </c>
      <c r="I31" s="1">
        <v>110</v>
      </c>
      <c r="J31" s="15">
        <v>0.01</v>
      </c>
    </row>
    <row r="32" spans="2:10" ht="53.4" customHeight="1" x14ac:dyDescent="0.3">
      <c r="B32" s="18">
        <v>29</v>
      </c>
      <c r="C32" s="4"/>
      <c r="D32" s="5" t="s">
        <v>50</v>
      </c>
      <c r="E32" s="2">
        <v>9</v>
      </c>
      <c r="F32" s="2" t="s">
        <v>38</v>
      </c>
      <c r="G32" s="2" t="s">
        <v>37</v>
      </c>
      <c r="H32" s="1">
        <f t="shared" si="0"/>
        <v>945</v>
      </c>
      <c r="I32" s="1">
        <v>105</v>
      </c>
      <c r="J32" s="15">
        <v>0.01</v>
      </c>
    </row>
    <row r="33" spans="2:10" ht="53.4" customHeight="1" x14ac:dyDescent="0.3">
      <c r="B33" s="18">
        <v>30</v>
      </c>
      <c r="C33" s="4"/>
      <c r="D33" s="5" t="s">
        <v>49</v>
      </c>
      <c r="E33" s="2">
        <v>12</v>
      </c>
      <c r="F33" s="2" t="s">
        <v>47</v>
      </c>
      <c r="G33" s="2" t="s">
        <v>0</v>
      </c>
      <c r="H33" s="1">
        <f t="shared" si="0"/>
        <v>1260</v>
      </c>
      <c r="I33" s="1">
        <v>105</v>
      </c>
      <c r="J33" s="15">
        <v>0.01</v>
      </c>
    </row>
    <row r="34" spans="2:10" ht="53.4" customHeight="1" x14ac:dyDescent="0.3">
      <c r="B34" s="18">
        <v>31</v>
      </c>
      <c r="C34" s="4"/>
      <c r="D34" s="5" t="s">
        <v>48</v>
      </c>
      <c r="E34" s="2">
        <v>12</v>
      </c>
      <c r="F34" s="2" t="s">
        <v>47</v>
      </c>
      <c r="G34" s="2" t="s">
        <v>0</v>
      </c>
      <c r="H34" s="1">
        <f t="shared" si="0"/>
        <v>1320</v>
      </c>
      <c r="I34" s="1">
        <v>110</v>
      </c>
      <c r="J34" s="15">
        <v>0.01</v>
      </c>
    </row>
    <row r="35" spans="2:10" ht="53.4" customHeight="1" x14ac:dyDescent="0.3">
      <c r="B35" s="18">
        <v>32</v>
      </c>
      <c r="C35" s="4"/>
      <c r="D35" s="3" t="s">
        <v>46</v>
      </c>
      <c r="E35" s="2">
        <v>8</v>
      </c>
      <c r="F35" s="2" t="s">
        <v>44</v>
      </c>
      <c r="G35" s="2" t="s">
        <v>43</v>
      </c>
      <c r="H35" s="1">
        <v>912.8</v>
      </c>
      <c r="I35" s="1">
        <v>114</v>
      </c>
      <c r="J35" s="15">
        <v>0.01</v>
      </c>
    </row>
    <row r="36" spans="2:10" ht="53.4" customHeight="1" x14ac:dyDescent="0.3">
      <c r="B36" s="18">
        <v>33</v>
      </c>
      <c r="C36" s="4"/>
      <c r="D36" s="3" t="s">
        <v>45</v>
      </c>
      <c r="E36" s="2">
        <v>8</v>
      </c>
      <c r="F36" s="2" t="s">
        <v>44</v>
      </c>
      <c r="G36" s="2" t="s">
        <v>43</v>
      </c>
      <c r="H36" s="1">
        <v>912.8</v>
      </c>
      <c r="I36" s="1">
        <v>114</v>
      </c>
      <c r="J36" s="15">
        <v>0.01</v>
      </c>
    </row>
    <row r="37" spans="2:10" ht="53.4" customHeight="1" x14ac:dyDescent="0.3">
      <c r="B37" s="18">
        <v>34</v>
      </c>
      <c r="C37" s="4"/>
      <c r="D37" s="5" t="s">
        <v>42</v>
      </c>
      <c r="E37" s="2">
        <v>9</v>
      </c>
      <c r="F37" s="2" t="s">
        <v>41</v>
      </c>
      <c r="G37" s="2" t="s">
        <v>40</v>
      </c>
      <c r="H37" s="1">
        <f>I37*E37</f>
        <v>945</v>
      </c>
      <c r="I37" s="1">
        <v>105</v>
      </c>
      <c r="J37" s="15">
        <v>0.01</v>
      </c>
    </row>
    <row r="38" spans="2:10" ht="53.4" customHeight="1" x14ac:dyDescent="0.3">
      <c r="B38" s="18">
        <v>35</v>
      </c>
      <c r="C38" s="4"/>
      <c r="D38" s="5" t="s">
        <v>39</v>
      </c>
      <c r="E38" s="2">
        <v>9</v>
      </c>
      <c r="F38" s="2" t="s">
        <v>38</v>
      </c>
      <c r="G38" s="2" t="s">
        <v>37</v>
      </c>
      <c r="H38" s="1">
        <f>I38*E38</f>
        <v>945</v>
      </c>
      <c r="I38" s="1">
        <v>105</v>
      </c>
      <c r="J38" s="15">
        <v>0.01</v>
      </c>
    </row>
    <row r="39" spans="2:10" ht="53.4" customHeight="1" x14ac:dyDescent="0.3">
      <c r="B39" s="18">
        <v>36</v>
      </c>
      <c r="C39" s="4"/>
      <c r="D39" s="5" t="s">
        <v>36</v>
      </c>
      <c r="E39" s="2">
        <v>9</v>
      </c>
      <c r="F39" s="2" t="s">
        <v>33</v>
      </c>
      <c r="G39" s="2" t="s">
        <v>32</v>
      </c>
      <c r="H39" s="1">
        <v>990</v>
      </c>
      <c r="I39" s="1">
        <v>110</v>
      </c>
      <c r="J39" s="15">
        <v>0.01</v>
      </c>
    </row>
    <row r="40" spans="2:10" ht="53.4" customHeight="1" x14ac:dyDescent="0.3">
      <c r="B40" s="18">
        <v>37</v>
      </c>
      <c r="C40" s="4"/>
      <c r="D40" s="5" t="s">
        <v>35</v>
      </c>
      <c r="E40" s="2">
        <v>9</v>
      </c>
      <c r="F40" s="2" t="s">
        <v>33</v>
      </c>
      <c r="G40" s="2" t="s">
        <v>32</v>
      </c>
      <c r="H40" s="1">
        <v>990</v>
      </c>
      <c r="I40" s="1">
        <v>110</v>
      </c>
      <c r="J40" s="15">
        <v>0.01</v>
      </c>
    </row>
    <row r="41" spans="2:10" ht="53.4" customHeight="1" x14ac:dyDescent="0.3">
      <c r="B41" s="18">
        <v>38</v>
      </c>
      <c r="C41" s="4"/>
      <c r="D41" s="5" t="s">
        <v>34</v>
      </c>
      <c r="E41" s="2">
        <v>9</v>
      </c>
      <c r="F41" s="2" t="s">
        <v>33</v>
      </c>
      <c r="G41" s="2" t="s">
        <v>32</v>
      </c>
      <c r="H41" s="1">
        <v>990</v>
      </c>
      <c r="I41" s="1">
        <v>110</v>
      </c>
      <c r="J41" s="15">
        <v>0.01</v>
      </c>
    </row>
    <row r="42" spans="2:10" ht="53.4" customHeight="1" x14ac:dyDescent="0.3">
      <c r="B42" s="18">
        <v>39</v>
      </c>
      <c r="C42" s="4"/>
      <c r="D42" s="5" t="s">
        <v>106</v>
      </c>
      <c r="E42" s="2">
        <v>9</v>
      </c>
      <c r="F42" s="2" t="s">
        <v>33</v>
      </c>
      <c r="G42" s="2" t="s">
        <v>32</v>
      </c>
      <c r="H42" s="1">
        <v>990</v>
      </c>
      <c r="I42" s="1">
        <v>110</v>
      </c>
      <c r="J42" s="15">
        <v>0.01</v>
      </c>
    </row>
    <row r="43" spans="2:10" ht="53.4" customHeight="1" x14ac:dyDescent="0.3">
      <c r="B43" s="18">
        <v>40</v>
      </c>
      <c r="C43" s="4"/>
      <c r="D43" s="5" t="s">
        <v>31</v>
      </c>
      <c r="E43" s="2">
        <v>10</v>
      </c>
      <c r="F43" s="2" t="s">
        <v>30</v>
      </c>
      <c r="G43" s="2" t="s">
        <v>29</v>
      </c>
      <c r="H43" s="1">
        <v>875</v>
      </c>
      <c r="I43" s="1">
        <v>87.5</v>
      </c>
      <c r="J43" s="15">
        <v>0.01</v>
      </c>
    </row>
    <row r="44" spans="2:10" ht="53.4" customHeight="1" x14ac:dyDescent="0.3">
      <c r="B44" s="18">
        <v>41</v>
      </c>
      <c r="C44" s="4"/>
      <c r="D44" s="5" t="s">
        <v>28</v>
      </c>
      <c r="E44" s="2">
        <v>9</v>
      </c>
      <c r="F44" s="2" t="s">
        <v>1</v>
      </c>
      <c r="G44" s="2" t="s">
        <v>0</v>
      </c>
      <c r="H44" s="1">
        <f t="shared" ref="H44:H54" si="1">I44*E44</f>
        <v>855</v>
      </c>
      <c r="I44" s="1">
        <v>95</v>
      </c>
      <c r="J44" s="15">
        <v>0.01</v>
      </c>
    </row>
    <row r="45" spans="2:10" ht="53.4" customHeight="1" x14ac:dyDescent="0.3">
      <c r="B45" s="18">
        <v>42</v>
      </c>
      <c r="C45" s="4"/>
      <c r="D45" s="5" t="s">
        <v>27</v>
      </c>
      <c r="E45" s="2">
        <v>16</v>
      </c>
      <c r="F45" s="2" t="s">
        <v>26</v>
      </c>
      <c r="G45" s="2" t="s">
        <v>25</v>
      </c>
      <c r="H45" s="1">
        <f t="shared" si="1"/>
        <v>1264</v>
      </c>
      <c r="I45" s="1">
        <v>79</v>
      </c>
      <c r="J45" s="15">
        <v>0.01</v>
      </c>
    </row>
    <row r="46" spans="2:10" ht="53.4" customHeight="1" x14ac:dyDescent="0.3">
      <c r="B46" s="18">
        <v>43</v>
      </c>
      <c r="C46" s="4"/>
      <c r="D46" s="5" t="s">
        <v>24</v>
      </c>
      <c r="E46" s="2">
        <v>9</v>
      </c>
      <c r="F46" s="2" t="s">
        <v>19</v>
      </c>
      <c r="G46" s="2" t="s">
        <v>12</v>
      </c>
      <c r="H46" s="1">
        <f t="shared" si="1"/>
        <v>945</v>
      </c>
      <c r="I46" s="1">
        <v>105</v>
      </c>
      <c r="J46" s="15">
        <v>0.01</v>
      </c>
    </row>
    <row r="47" spans="2:10" ht="53.4" customHeight="1" x14ac:dyDescent="0.3">
      <c r="B47" s="18">
        <v>44</v>
      </c>
      <c r="C47" s="4"/>
      <c r="D47" s="5" t="s">
        <v>23</v>
      </c>
      <c r="E47" s="2">
        <v>10</v>
      </c>
      <c r="F47" s="2" t="s">
        <v>22</v>
      </c>
      <c r="G47" s="2" t="s">
        <v>21</v>
      </c>
      <c r="H47" s="1">
        <f t="shared" si="1"/>
        <v>950</v>
      </c>
      <c r="I47" s="1">
        <v>95</v>
      </c>
      <c r="J47" s="15">
        <v>0.01</v>
      </c>
    </row>
    <row r="48" spans="2:10" ht="53.4" customHeight="1" x14ac:dyDescent="0.3">
      <c r="B48" s="18">
        <v>45</v>
      </c>
      <c r="C48" s="4"/>
      <c r="D48" s="5" t="s">
        <v>20</v>
      </c>
      <c r="E48" s="2">
        <v>10</v>
      </c>
      <c r="F48" s="2" t="s">
        <v>19</v>
      </c>
      <c r="G48" s="2" t="s">
        <v>18</v>
      </c>
      <c r="H48" s="1">
        <f t="shared" si="1"/>
        <v>850</v>
      </c>
      <c r="I48" s="1">
        <v>85</v>
      </c>
      <c r="J48" s="15">
        <v>0.01</v>
      </c>
    </row>
    <row r="49" spans="2:10" ht="53.4" customHeight="1" x14ac:dyDescent="0.3">
      <c r="B49" s="18">
        <v>46</v>
      </c>
      <c r="C49" s="4"/>
      <c r="D49" s="5" t="s">
        <v>17</v>
      </c>
      <c r="E49" s="2">
        <v>12</v>
      </c>
      <c r="F49" s="2" t="s">
        <v>16</v>
      </c>
      <c r="G49" s="2" t="s">
        <v>15</v>
      </c>
      <c r="H49" s="1">
        <f t="shared" si="1"/>
        <v>948</v>
      </c>
      <c r="I49" s="1">
        <v>79</v>
      </c>
      <c r="J49" s="15">
        <v>0.01</v>
      </c>
    </row>
    <row r="50" spans="2:10" ht="53.4" customHeight="1" x14ac:dyDescent="0.3">
      <c r="B50" s="18">
        <v>47</v>
      </c>
      <c r="C50" s="4"/>
      <c r="D50" s="5" t="s">
        <v>14</v>
      </c>
      <c r="E50" s="2">
        <v>12</v>
      </c>
      <c r="F50" s="2" t="s">
        <v>13</v>
      </c>
      <c r="G50" s="2" t="s">
        <v>12</v>
      </c>
      <c r="H50" s="1">
        <f t="shared" si="1"/>
        <v>1320</v>
      </c>
      <c r="I50" s="1">
        <v>110</v>
      </c>
      <c r="J50" s="15">
        <v>0.01</v>
      </c>
    </row>
    <row r="51" spans="2:10" ht="53.4" customHeight="1" x14ac:dyDescent="0.3">
      <c r="B51" s="18">
        <v>48</v>
      </c>
      <c r="C51" s="4"/>
      <c r="D51" s="3" t="s">
        <v>11</v>
      </c>
      <c r="E51" s="2">
        <v>18</v>
      </c>
      <c r="F51" s="2" t="s">
        <v>10</v>
      </c>
      <c r="G51" s="2" t="s">
        <v>9</v>
      </c>
      <c r="H51" s="1">
        <f t="shared" si="1"/>
        <v>1530</v>
      </c>
      <c r="I51" s="1">
        <v>85</v>
      </c>
      <c r="J51" s="15">
        <v>0.01</v>
      </c>
    </row>
    <row r="52" spans="2:10" ht="53.4" customHeight="1" x14ac:dyDescent="0.3">
      <c r="B52" s="18">
        <v>49</v>
      </c>
      <c r="C52" s="4"/>
      <c r="D52" s="3" t="s">
        <v>8</v>
      </c>
      <c r="E52" s="2">
        <v>15</v>
      </c>
      <c r="F52" s="2" t="s">
        <v>7</v>
      </c>
      <c r="G52" s="2" t="s">
        <v>6</v>
      </c>
      <c r="H52" s="1">
        <f t="shared" si="1"/>
        <v>1485</v>
      </c>
      <c r="I52" s="1">
        <v>99</v>
      </c>
      <c r="J52" s="15">
        <v>0.01</v>
      </c>
    </row>
    <row r="53" spans="2:10" ht="53.4" customHeight="1" x14ac:dyDescent="0.3">
      <c r="B53" s="18">
        <v>50</v>
      </c>
      <c r="C53" s="4"/>
      <c r="D53" s="3" t="s">
        <v>5</v>
      </c>
      <c r="E53" s="2">
        <v>10</v>
      </c>
      <c r="F53" s="2" t="s">
        <v>4</v>
      </c>
      <c r="G53" s="2" t="s">
        <v>3</v>
      </c>
      <c r="H53" s="1">
        <f t="shared" si="1"/>
        <v>875</v>
      </c>
      <c r="I53" s="1">
        <v>87.5</v>
      </c>
      <c r="J53" s="15">
        <v>0.01</v>
      </c>
    </row>
    <row r="54" spans="2:10" ht="53.4" customHeight="1" x14ac:dyDescent="0.3">
      <c r="B54" s="18">
        <v>51</v>
      </c>
      <c r="C54" s="4"/>
      <c r="D54" s="3" t="s">
        <v>2</v>
      </c>
      <c r="E54" s="2">
        <v>9</v>
      </c>
      <c r="F54" s="2" t="s">
        <v>1</v>
      </c>
      <c r="G54" s="2" t="s">
        <v>0</v>
      </c>
      <c r="H54" s="1">
        <f t="shared" si="1"/>
        <v>855</v>
      </c>
      <c r="I54" s="1">
        <v>95</v>
      </c>
      <c r="J54" s="15">
        <v>0.01</v>
      </c>
    </row>
  </sheetData>
  <mergeCells count="1">
    <mergeCell ref="C2:J2"/>
  </mergeCells>
  <printOptions horizontalCentered="1" verticalCentered="1"/>
  <pageMargins left="0.19685039370078741" right="0.11811023622047245" top="0.15748031496062992" bottom="0.15748031496062992" header="0" footer="0"/>
  <pageSetup paperSize="9" scale="85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2026-08-11T07:00:04Z</cp:lastPrinted>
  <dcterms:created xsi:type="dcterms:W3CDTF">2026-08-01T12:31:11Z</dcterms:created>
  <dcterms:modified xsi:type="dcterms:W3CDTF">2026-08-14T08:01:29Z</dcterms:modified>
</cp:coreProperties>
</file>