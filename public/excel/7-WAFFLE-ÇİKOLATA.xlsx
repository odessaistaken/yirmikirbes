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gif" ContentType="image/gi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Sayfa1!$B$3:$N$42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2" l="1"/>
  <c r="E12" i="2"/>
  <c r="E11" i="2"/>
  <c r="E10" i="2"/>
  <c r="E9" i="2"/>
  <c r="E8" i="2"/>
  <c r="E7" i="2"/>
  <c r="E6" i="2"/>
  <c r="E5" i="2"/>
</calcChain>
</file>

<file path=xl/sharedStrings.xml><?xml version="1.0" encoding="utf-8"?>
<sst xmlns="http://schemas.openxmlformats.org/spreadsheetml/2006/main" count="168" uniqueCount="79">
  <si>
    <t>*** SÜSLEME ÜRÜN FİYATLARI DEĞİŞKENLİK ARZ EDER</t>
  </si>
  <si>
    <t>1000 gr</t>
  </si>
  <si>
    <t>VERMİCELLİ KARIŞIK</t>
  </si>
  <si>
    <t xml:space="preserve">LOTUS PARÇAÇIKLARI </t>
  </si>
  <si>
    <t>1750 gr</t>
  </si>
  <si>
    <t>3000 gr</t>
  </si>
  <si>
    <t>MİNİBON</t>
  </si>
  <si>
    <t>ÇAKIL TAŞI</t>
  </si>
  <si>
    <t xml:space="preserve">YER FISTIĞI </t>
  </si>
  <si>
    <t>FINDIK PİRİNÇ KAVRULMUŞ</t>
  </si>
  <si>
    <t>ANTEP FISTIK BOZ PİRİNÇ - TOZ</t>
  </si>
  <si>
    <t>KDV</t>
  </si>
  <si>
    <t>KG FİYATI</t>
  </si>
  <si>
    <t>KG/GR</t>
  </si>
  <si>
    <t>ÜRÜN ADI</t>
  </si>
  <si>
    <t>WAFFLE SÜSLEME</t>
  </si>
  <si>
    <t>TENEKE</t>
  </si>
  <si>
    <t>10 KG</t>
  </si>
  <si>
    <t>CALLEİ EKSTRA SÜTLÜ FINDIKLI (BUENO)</t>
  </si>
  <si>
    <t>P.KOVA</t>
  </si>
  <si>
    <t>GİORETTO</t>
  </si>
  <si>
    <t>CALLEİ EKSTRA RAFAELLO</t>
  </si>
  <si>
    <t>CALLEİ EKSTRA BUBBLE GUM</t>
  </si>
  <si>
    <t>DROU EKO PORTAKAL</t>
  </si>
  <si>
    <t>CALLEİ EKSTRA MİLKELLA</t>
  </si>
  <si>
    <t>DROU EKO MUZ</t>
  </si>
  <si>
    <t>CALLEİ EKSTRA BADEM</t>
  </si>
  <si>
    <t>DROU EKO MİLKELLA</t>
  </si>
  <si>
    <t>CALLEİ EKSTRA FISTIK</t>
  </si>
  <si>
    <t>DROU EKO KARAMEL</t>
  </si>
  <si>
    <t>CALLEİ EKSTRA FRAMBUAZ</t>
  </si>
  <si>
    <t>DROU EKO FRAMBUAZ</t>
  </si>
  <si>
    <t>CALLEİ EKSTRA FINDIK</t>
  </si>
  <si>
    <t>DROU EKO FISTIK</t>
  </si>
  <si>
    <t>CALLEİ EKSTRA PORTAKAL</t>
  </si>
  <si>
    <t>DROU EKO FINDIK</t>
  </si>
  <si>
    <t>CALLEİ EKSTRA MUZ</t>
  </si>
  <si>
    <t>DROU EKO ÇİLEK</t>
  </si>
  <si>
    <t>CALLEİ EKSTRA KARAMEL</t>
  </si>
  <si>
    <t>DROU EKO BUBBLE GUM</t>
  </si>
  <si>
    <t>CALLEİ EKSTRA ÇİLEK</t>
  </si>
  <si>
    <t>DROU EKO BİTTER</t>
  </si>
  <si>
    <t>CALLEİ EKSTRA BİTTER</t>
  </si>
  <si>
    <t>DROU EKO BEYAZ</t>
  </si>
  <si>
    <t>CALLEİ EKSTRA BEYAZ</t>
  </si>
  <si>
    <t>DROU EKO BADEM</t>
  </si>
  <si>
    <t>CALLEİ EKSTRA SÜTLÜ</t>
  </si>
  <si>
    <t>DROU EKO SÜTLÜ</t>
  </si>
  <si>
    <t>ADET FİYATI</t>
  </si>
  <si>
    <t>CİNSİ</t>
  </si>
  <si>
    <t>KG</t>
  </si>
  <si>
    <t>RUBY</t>
  </si>
  <si>
    <t>FRAMBUAZ</t>
  </si>
  <si>
    <t>BİTTER</t>
  </si>
  <si>
    <t>BEYAZ (FİLDİŞİ)</t>
  </si>
  <si>
    <t>CALLEİ BUBBLE GUM</t>
  </si>
  <si>
    <t>SÜTLÜ</t>
  </si>
  <si>
    <t>CALLEİ FRAMBUAZ</t>
  </si>
  <si>
    <t>CALLEİ KARAMEL</t>
  </si>
  <si>
    <t>CALLEİ ŞELALE SÜTLÜ- FÖNDÜ-CHORRU</t>
  </si>
  <si>
    <t xml:space="preserve">CALLEİ ÇİLEK </t>
  </si>
  <si>
    <t>CALLEİ BİTTER</t>
  </si>
  <si>
    <t>CALLEİ BEYAZ</t>
  </si>
  <si>
    <t>CALLEİ SÜTLÜ</t>
  </si>
  <si>
    <t>KOLİ FİYATI</t>
  </si>
  <si>
    <t>KOLİ İÇİ</t>
  </si>
  <si>
    <t>CALLEİ WAFFLE SOSLARI</t>
  </si>
  <si>
    <t>CALLEİ ANTEP FISTIK</t>
  </si>
  <si>
    <t>CALLEİ DAMLA DROP (SÜTLÜ-BİTTER- FİLDİŞİ-FRAMBUAZ)</t>
  </si>
  <si>
    <t>KREP KIRIĞI DR. GUSTO</t>
  </si>
  <si>
    <t>5000 gr</t>
  </si>
  <si>
    <t xml:space="preserve">PİRİNÇ PATLAĞI (SÜTLÜ-BEYAZ-FRAMBUAZ) PLASTİK KOVA </t>
  </si>
  <si>
    <r>
      <t xml:space="preserve">DAMLA DROP </t>
    </r>
    <r>
      <rPr>
        <sz val="12"/>
        <color theme="1"/>
        <rFont val="Calibri"/>
        <family val="2"/>
        <charset val="162"/>
        <scheme val="minor"/>
      </rPr>
      <t xml:space="preserve"> FRAMBUAZLI</t>
    </r>
  </si>
  <si>
    <t>WAFFLE HAMURU VE UNU</t>
  </si>
  <si>
    <t>WAFFLE HAMURU BRÜKSEL BÜYÜK (6*4)</t>
  </si>
  <si>
    <t>CALLEİ WAFFLE EKSTRA ÇİKOLATA</t>
  </si>
  <si>
    <t xml:space="preserve">CALLEİ WAFFLE EKO DROU ÇİKOLATA </t>
  </si>
  <si>
    <t xml:space="preserve">CALLEİ SPECULUS (lotus) </t>
  </si>
  <si>
    <t>WAFFLE  MİX TOZ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</si>
</sst>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4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9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9" fontId="2" fillId="2" borderId="7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9" fontId="1" fillId="2" borderId="0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9" fontId="2" fillId="2" borderId="4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3" borderId="1" xfId="0" applyFont="1" applyFill="1" applyBorder="1"/>
    <xf numFmtId="0" fontId="2" fillId="3" borderId="3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jp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183434</xdr:colOff>
      <xdr:row>3</xdr:row>
      <xdr:rowOff>99060</xdr:rowOff>
    </xdr:from>
    <xdr:to>
      <xdr:col>8</xdr:col>
      <xdr:colOff>751012</xdr:colOff>
      <xdr:row>3</xdr:row>
      <xdr:rowOff>845820</xdr:rowOff>
    </xdr:to>
    <xdr:pic>
      <xdr:nvPicPr>
        <xdr:cNvPr id="32" name="Resim 31">
          <a:extLst>
            <a:ext uri="{FF2B5EF4-FFF2-40B4-BE49-F238E27FC236}">
              <a16:creationId xmlns:a16="http://schemas.microsoft.com/office/drawing/2014/main" id="{247666C3-CFDC-3A64-1D4D-77EACB98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DCE0DD"/>
            </a:clrFrom>
            <a:clrTo>
              <a:srgbClr val="DCE0D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7054" y="1203960"/>
          <a:ext cx="567578" cy="74676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304800</xdr:colOff>
      <xdr:row>45</xdr:row>
      <xdr:rowOff>121920</xdr:rowOff>
    </xdr:to>
    <xdr:sp macro="" textlink="">
      <xdr:nvSpPr>
        <xdr:cNvPr id="42" name="AutoShape 2" descr="De Lucca Parçacıklı Bisküvi Tozu Lotus 1kg"/>
        <xdr:cNvSpPr>
          <a:spLocks noChangeAspect="1" noChangeArrowheads="1"/>
        </xdr:cNvSpPr>
      </xdr:nvSpPr>
      <xdr:spPr bwMode="auto">
        <a:xfrm>
          <a:off x="6949440" y="149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203204</xdr:colOff>
      <xdr:row>16</xdr:row>
      <xdr:rowOff>125133</xdr:rowOff>
    </xdr:from>
    <xdr:ext cx="458239" cy="458239"/>
    <xdr:pic>
      <xdr:nvPicPr>
        <xdr:cNvPr id="47" name="Resim 46">
          <a:extLst>
            <a:ext uri="{FF2B5EF4-FFF2-40B4-BE49-F238E27FC236}">
              <a16:creationId xmlns:a16="http://schemas.microsoft.com/office/drawing/2014/main" id="{691A2728-7A3A-6F1A-A4E4-8E2737639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6824" y="4620933"/>
          <a:ext cx="458239" cy="458239"/>
        </a:xfrm>
        <a:prstGeom prst="rect">
          <a:avLst/>
        </a:prstGeom>
      </xdr:spPr>
    </xdr:pic>
    <xdr:clientData/>
  </xdr:oneCellAnchor>
  <xdr:oneCellAnchor>
    <xdr:from>
      <xdr:col>1</xdr:col>
      <xdr:colOff>118860</xdr:colOff>
      <xdr:row>36</xdr:row>
      <xdr:rowOff>85725</xdr:rowOff>
    </xdr:from>
    <xdr:ext cx="695975" cy="819149"/>
    <xdr:pic>
      <xdr:nvPicPr>
        <xdr:cNvPr id="48" name="Resim 47">
          <a:extLst>
            <a:ext uri="{FF2B5EF4-FFF2-40B4-BE49-F238E27FC236}">
              <a16:creationId xmlns:a16="http://schemas.microsoft.com/office/drawing/2014/main" id="{83655C13-380C-6CCB-D944-5C7DFA5D9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510" y="10610850"/>
          <a:ext cx="695975" cy="819149"/>
        </a:xfrm>
        <a:prstGeom prst="rect">
          <a:avLst/>
        </a:prstGeom>
      </xdr:spPr>
    </xdr:pic>
    <xdr:clientData/>
  </xdr:oneCellAnchor>
  <xdr:oneCellAnchor>
    <xdr:from>
      <xdr:col>1</xdr:col>
      <xdr:colOff>175135</xdr:colOff>
      <xdr:row>35</xdr:row>
      <xdr:rowOff>148677</xdr:rowOff>
    </xdr:from>
    <xdr:ext cx="611193" cy="803823"/>
    <xdr:pic>
      <xdr:nvPicPr>
        <xdr:cNvPr id="49" name="Resim 48">
          <a:extLst>
            <a:ext uri="{FF2B5EF4-FFF2-40B4-BE49-F238E27FC236}">
              <a16:creationId xmlns:a16="http://schemas.microsoft.com/office/drawing/2014/main" id="{2E4620B0-83E8-48A2-2A9B-DD396A1A0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785" y="9673677"/>
          <a:ext cx="611193" cy="803823"/>
        </a:xfrm>
        <a:prstGeom prst="rect">
          <a:avLst/>
        </a:prstGeom>
      </xdr:spPr>
    </xdr:pic>
    <xdr:clientData/>
  </xdr:oneCellAnchor>
  <xdr:oneCellAnchor>
    <xdr:from>
      <xdr:col>1</xdr:col>
      <xdr:colOff>92029</xdr:colOff>
      <xdr:row>37</xdr:row>
      <xdr:rowOff>86047</xdr:rowOff>
    </xdr:from>
    <xdr:ext cx="720000" cy="837878"/>
    <xdr:pic>
      <xdr:nvPicPr>
        <xdr:cNvPr id="50" name="Resim 49">
          <a:extLst>
            <a:ext uri="{FF2B5EF4-FFF2-40B4-BE49-F238E27FC236}">
              <a16:creationId xmlns:a16="http://schemas.microsoft.com/office/drawing/2014/main" id="{333502DF-156B-69F9-7E67-68163FD4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679" y="11611297"/>
          <a:ext cx="720000" cy="837878"/>
        </a:xfrm>
        <a:prstGeom prst="rect">
          <a:avLst/>
        </a:prstGeom>
      </xdr:spPr>
    </xdr:pic>
    <xdr:clientData/>
  </xdr:oneCellAnchor>
  <xdr:oneCellAnchor>
    <xdr:from>
      <xdr:col>1</xdr:col>
      <xdr:colOff>81448</xdr:colOff>
      <xdr:row>38</xdr:row>
      <xdr:rowOff>128383</xdr:rowOff>
    </xdr:from>
    <xdr:ext cx="600075" cy="600075"/>
    <xdr:pic>
      <xdr:nvPicPr>
        <xdr:cNvPr id="51" name="Resim 50">
          <a:extLst>
            <a:ext uri="{FF2B5EF4-FFF2-40B4-BE49-F238E27FC236}">
              <a16:creationId xmlns:a16="http://schemas.microsoft.com/office/drawing/2014/main" id="{0C9447AB-9C05-B955-CF6F-C8FA5859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288" y="12167983"/>
          <a:ext cx="600075" cy="600075"/>
        </a:xfrm>
        <a:prstGeom prst="rect">
          <a:avLst/>
        </a:prstGeom>
      </xdr:spPr>
    </xdr:pic>
    <xdr:clientData/>
  </xdr:oneCellAnchor>
  <xdr:oneCellAnchor>
    <xdr:from>
      <xdr:col>8</xdr:col>
      <xdr:colOff>165193</xdr:colOff>
      <xdr:row>35</xdr:row>
      <xdr:rowOff>43716</xdr:rowOff>
    </xdr:from>
    <xdr:ext cx="495300" cy="847824"/>
    <xdr:pic>
      <xdr:nvPicPr>
        <xdr:cNvPr id="52" name="Resim 51">
          <a:extLst>
            <a:ext uri="{FF2B5EF4-FFF2-40B4-BE49-F238E27FC236}">
              <a16:creationId xmlns:a16="http://schemas.microsoft.com/office/drawing/2014/main" id="{1A396333-94CE-A121-44B3-DB71B9DE2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8813" y="9522996"/>
          <a:ext cx="495300" cy="847824"/>
        </a:xfrm>
        <a:prstGeom prst="rect">
          <a:avLst/>
        </a:prstGeom>
      </xdr:spPr>
    </xdr:pic>
    <xdr:clientData/>
  </xdr:oneCellAnchor>
  <xdr:oneCellAnchor>
    <xdr:from>
      <xdr:col>8</xdr:col>
      <xdr:colOff>80433</xdr:colOff>
      <xdr:row>36</xdr:row>
      <xdr:rowOff>145627</xdr:rowOff>
    </xdr:from>
    <xdr:ext cx="720000" cy="720000"/>
    <xdr:pic>
      <xdr:nvPicPr>
        <xdr:cNvPr id="53" name="Resim 52">
          <a:extLst>
            <a:ext uri="{FF2B5EF4-FFF2-40B4-BE49-F238E27FC236}">
              <a16:creationId xmlns:a16="http://schemas.microsoft.com/office/drawing/2014/main" id="{E8A5EA42-F7E7-C670-17E2-8326DCD0C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84053" y="10623127"/>
          <a:ext cx="720000" cy="720000"/>
        </a:xfrm>
        <a:prstGeom prst="rect">
          <a:avLst/>
        </a:prstGeom>
      </xdr:spPr>
    </xdr:pic>
    <xdr:clientData/>
  </xdr:oneCellAnchor>
  <xdr:oneCellAnchor>
    <xdr:from>
      <xdr:col>8</xdr:col>
      <xdr:colOff>42333</xdr:colOff>
      <xdr:row>38</xdr:row>
      <xdr:rowOff>63498</xdr:rowOff>
    </xdr:from>
    <xdr:ext cx="720000" cy="812801"/>
    <xdr:pic>
      <xdr:nvPicPr>
        <xdr:cNvPr id="54" name="Resim 53">
          <a:extLst>
            <a:ext uri="{FF2B5EF4-FFF2-40B4-BE49-F238E27FC236}">
              <a16:creationId xmlns:a16="http://schemas.microsoft.com/office/drawing/2014/main" id="{FB2CA5AF-2FB2-15BB-5302-02D2306E5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5953" y="12537438"/>
          <a:ext cx="720000" cy="812801"/>
        </a:xfrm>
        <a:prstGeom prst="rect">
          <a:avLst/>
        </a:prstGeom>
      </xdr:spPr>
    </xdr:pic>
    <xdr:clientData/>
  </xdr:oneCellAnchor>
  <xdr:oneCellAnchor>
    <xdr:from>
      <xdr:col>8</xdr:col>
      <xdr:colOff>33020</xdr:colOff>
      <xdr:row>30</xdr:row>
      <xdr:rowOff>57150</xdr:rowOff>
    </xdr:from>
    <xdr:ext cx="705787" cy="390525"/>
    <xdr:pic>
      <xdr:nvPicPr>
        <xdr:cNvPr id="55" name="Resim 54">
          <a:extLst>
            <a:ext uri="{FF2B5EF4-FFF2-40B4-BE49-F238E27FC236}">
              <a16:creationId xmlns:a16="http://schemas.microsoft.com/office/drawing/2014/main" id="{DF87B04B-4719-247B-2112-431E46507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6640" y="7768590"/>
          <a:ext cx="705787" cy="390525"/>
        </a:xfrm>
        <a:prstGeom prst="rect">
          <a:avLst/>
        </a:prstGeom>
      </xdr:spPr>
    </xdr:pic>
    <xdr:clientData/>
  </xdr:oneCellAnchor>
  <xdr:oneCellAnchor>
    <xdr:from>
      <xdr:col>1</xdr:col>
      <xdr:colOff>204910</xdr:colOff>
      <xdr:row>16</xdr:row>
      <xdr:rowOff>37447</xdr:rowOff>
    </xdr:from>
    <xdr:ext cx="539288" cy="539288"/>
    <xdr:pic>
      <xdr:nvPicPr>
        <xdr:cNvPr id="56" name="Resim 55">
          <a:extLst>
            <a:ext uri="{FF2B5EF4-FFF2-40B4-BE49-F238E27FC236}">
              <a16:creationId xmlns:a16="http://schemas.microsoft.com/office/drawing/2014/main" id="{DB511D0D-4826-4BF1-A797-D4100341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750" y="4533247"/>
          <a:ext cx="539288" cy="539288"/>
        </a:xfrm>
        <a:prstGeom prst="rect">
          <a:avLst/>
        </a:prstGeom>
      </xdr:spPr>
    </xdr:pic>
    <xdr:clientData/>
  </xdr:oneCellAnchor>
  <xdr:oneCellAnchor>
    <xdr:from>
      <xdr:col>8</xdr:col>
      <xdr:colOff>66675</xdr:colOff>
      <xdr:row>39</xdr:row>
      <xdr:rowOff>91440</xdr:rowOff>
    </xdr:from>
    <xdr:ext cx="733425" cy="693419"/>
    <xdr:pic>
      <xdr:nvPicPr>
        <xdr:cNvPr id="57" name="Resim 56" descr="FERROSA KARIŞIK VERMİCELLİ 1 KG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0295" y="13563600"/>
          <a:ext cx="733425" cy="693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44</xdr:row>
      <xdr:rowOff>0</xdr:rowOff>
    </xdr:from>
    <xdr:ext cx="304800" cy="304800"/>
    <xdr:sp macro="" textlink="">
      <xdr:nvSpPr>
        <xdr:cNvPr id="58" name="AutoShape 2" descr="De Lucca Parçacıklı Bisküvi Tozu Lotus 1kg"/>
        <xdr:cNvSpPr>
          <a:spLocks noChangeAspect="1" noChangeArrowheads="1"/>
        </xdr:cNvSpPr>
      </xdr:nvSpPr>
      <xdr:spPr bwMode="auto">
        <a:xfrm>
          <a:off x="6949440" y="1496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64770</xdr:colOff>
      <xdr:row>40</xdr:row>
      <xdr:rowOff>104775</xdr:rowOff>
    </xdr:from>
    <xdr:ext cx="752475" cy="735331"/>
    <xdr:pic>
      <xdr:nvPicPr>
        <xdr:cNvPr id="59" name="Resim 58" descr="De Lucca Parçacıklı Bisküvi Tozu Lotus 1kg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" y="14630400"/>
          <a:ext cx="752475" cy="7353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85724</xdr:colOff>
      <xdr:row>39</xdr:row>
      <xdr:rowOff>47625</xdr:rowOff>
    </xdr:from>
    <xdr:to>
      <xdr:col>1</xdr:col>
      <xdr:colOff>748665</xdr:colOff>
      <xdr:row>39</xdr:row>
      <xdr:rowOff>899160</xdr:rowOff>
    </xdr:to>
    <xdr:pic>
      <xdr:nvPicPr>
        <xdr:cNvPr id="60" name="Resim 59" descr="Pasta Vista| Damla Çikolata Frambuaz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4" y="13519785"/>
          <a:ext cx="662941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184785</xdr:colOff>
      <xdr:row>37</xdr:row>
      <xdr:rowOff>182880</xdr:rowOff>
    </xdr:from>
    <xdr:to>
      <xdr:col>8</xdr:col>
      <xdr:colOff>714375</xdr:colOff>
      <xdr:row>37</xdr:row>
      <xdr:rowOff>866775</xdr:rowOff>
    </xdr:to>
    <xdr:pic>
      <xdr:nvPicPr>
        <xdr:cNvPr id="61" name="Resim 60" descr="Mini Bonibon Şekeri 3 Kg | Efe Pastacılık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8510" y="11708130"/>
          <a:ext cx="529590" cy="683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3</xdr:row>
      <xdr:rowOff>57150</xdr:rowOff>
    </xdr:from>
    <xdr:to>
      <xdr:col>1</xdr:col>
      <xdr:colOff>752475</xdr:colOff>
      <xdr:row>3</xdr:row>
      <xdr:rowOff>895350</xdr:rowOff>
    </xdr:to>
    <xdr:pic>
      <xdr:nvPicPr>
        <xdr:cNvPr id="22" name="Resim 21" descr="Callei Sütlü Waffle Sosu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162050"/>
          <a:ext cx="60007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7</xdr:row>
      <xdr:rowOff>47625</xdr:rowOff>
    </xdr:from>
    <xdr:to>
      <xdr:col>8</xdr:col>
      <xdr:colOff>657225</xdr:colOff>
      <xdr:row>8</xdr:row>
      <xdr:rowOff>152400</xdr:rowOff>
    </xdr:to>
    <xdr:pic>
      <xdr:nvPicPr>
        <xdr:cNvPr id="24" name="Resim 23" descr="Callei Sütlü Şelale-Fondü-Churro Çikolatası 10kg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2733675"/>
          <a:ext cx="4476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49"/>
  <sheetViews>
    <sheetView tabSelected="1" zoomScale="80" zoomScaleNormal="80" workbookViewId="0">
      <selection activeCell="S11" sqref="S11"/>
    </sheetView>
  </sheetViews>
  <sheetFormatPr defaultColWidth="9.109375" defaultRowHeight="14.4" customHeight="1" x14ac:dyDescent="0.3"/>
  <cols>
    <col min="1" max="1" width="9.109375" style="1"/>
    <col min="2" max="2" width="12.6640625" style="1" customWidth="1"/>
    <col min="3" max="3" width="38.44140625" style="2" bestFit="1" customWidth="1"/>
    <col min="4" max="4" width="8.109375" style="1" bestFit="1" customWidth="1"/>
    <col min="5" max="5" width="10.109375" style="1" customWidth="1"/>
    <col min="6" max="6" width="9.88671875" style="1" bestFit="1" customWidth="1"/>
    <col min="7" max="7" width="5.109375" style="1" bestFit="1" customWidth="1"/>
    <col min="8" max="8" width="3.88671875" style="1" customWidth="1"/>
    <col min="9" max="9" width="12.33203125" style="1" customWidth="1"/>
    <col min="10" max="10" width="39" style="1" bestFit="1" customWidth="1"/>
    <col min="11" max="11" width="8.109375" style="1" bestFit="1" customWidth="1"/>
    <col min="12" max="12" width="9.88671875" style="1" bestFit="1" customWidth="1"/>
    <col min="13" max="13" width="11" style="1" customWidth="1"/>
    <col min="14" max="14" width="5.77734375" style="1" customWidth="1"/>
    <col min="15" max="16384" width="9.109375" style="1"/>
  </cols>
  <sheetData>
    <row r="2" spans="2:17" ht="27" customHeight="1" x14ac:dyDescent="0.3">
      <c r="C2" s="1"/>
    </row>
    <row r="3" spans="2:17" ht="45.6" customHeight="1" x14ac:dyDescent="0.3">
      <c r="B3" s="36" t="s">
        <v>66</v>
      </c>
      <c r="C3" s="37"/>
      <c r="D3" s="37"/>
      <c r="E3" s="37"/>
      <c r="F3" s="37"/>
      <c r="G3" s="38"/>
      <c r="I3" s="36" t="s">
        <v>73</v>
      </c>
      <c r="J3" s="37"/>
      <c r="K3" s="37"/>
      <c r="L3" s="37"/>
      <c r="M3" s="37"/>
      <c r="N3" s="38"/>
    </row>
    <row r="4" spans="2:17" ht="75" customHeight="1" x14ac:dyDescent="0.3">
      <c r="B4" s="5"/>
      <c r="C4" s="23" t="s">
        <v>14</v>
      </c>
      <c r="D4" s="16" t="s">
        <v>65</v>
      </c>
      <c r="E4" s="8" t="s">
        <v>64</v>
      </c>
      <c r="F4" s="8" t="s">
        <v>48</v>
      </c>
      <c r="G4" s="22" t="s">
        <v>11</v>
      </c>
      <c r="I4" s="6"/>
      <c r="J4" s="17" t="s">
        <v>14</v>
      </c>
      <c r="K4" s="16" t="s">
        <v>65</v>
      </c>
      <c r="L4" s="8" t="s">
        <v>64</v>
      </c>
      <c r="M4" s="8" t="s">
        <v>48</v>
      </c>
      <c r="N4" s="15" t="s">
        <v>11</v>
      </c>
    </row>
    <row r="5" spans="2:17" ht="15.6" x14ac:dyDescent="0.3">
      <c r="B5" s="6">
        <v>1</v>
      </c>
      <c r="C5" s="10" t="s">
        <v>63</v>
      </c>
      <c r="D5" s="6">
        <v>8</v>
      </c>
      <c r="E5" s="7">
        <f t="shared" ref="E5:E13" si="0">F5*D5</f>
        <v>2160</v>
      </c>
      <c r="F5" s="7">
        <v>270</v>
      </c>
      <c r="G5" s="4">
        <v>0.01</v>
      </c>
      <c r="I5" s="5"/>
      <c r="J5" s="10" t="s">
        <v>74</v>
      </c>
      <c r="K5" s="6">
        <v>48</v>
      </c>
      <c r="L5" s="7">
        <v>1440</v>
      </c>
      <c r="M5" s="7">
        <v>28</v>
      </c>
      <c r="N5" s="4">
        <v>0.01</v>
      </c>
    </row>
    <row r="6" spans="2:17" ht="15.6" x14ac:dyDescent="0.3">
      <c r="B6" s="6">
        <v>2</v>
      </c>
      <c r="C6" s="24" t="s">
        <v>62</v>
      </c>
      <c r="D6" s="6">
        <v>8</v>
      </c>
      <c r="E6" s="7">
        <f t="shared" si="0"/>
        <v>1880</v>
      </c>
      <c r="F6" s="7">
        <v>235</v>
      </c>
      <c r="G6" s="4">
        <v>0.01</v>
      </c>
      <c r="I6" s="5"/>
      <c r="J6" s="10" t="s">
        <v>78</v>
      </c>
      <c r="K6" s="6">
        <v>12</v>
      </c>
      <c r="L6" s="7">
        <v>2100</v>
      </c>
      <c r="M6" s="7">
        <v>175</v>
      </c>
      <c r="N6" s="4">
        <v>0.01</v>
      </c>
    </row>
    <row r="7" spans="2:17" ht="18" customHeight="1" x14ac:dyDescent="0.3">
      <c r="B7" s="6">
        <v>3</v>
      </c>
      <c r="C7" s="24" t="s">
        <v>61</v>
      </c>
      <c r="D7" s="6">
        <v>8</v>
      </c>
      <c r="E7" s="7">
        <f t="shared" si="0"/>
        <v>2240</v>
      </c>
      <c r="F7" s="7">
        <v>280</v>
      </c>
      <c r="G7" s="4">
        <v>0.01</v>
      </c>
      <c r="Q7"/>
    </row>
    <row r="8" spans="2:17" ht="18" customHeight="1" x14ac:dyDescent="0.3">
      <c r="B8" s="6">
        <v>4</v>
      </c>
      <c r="C8" s="10" t="s">
        <v>60</v>
      </c>
      <c r="D8" s="6">
        <v>8</v>
      </c>
      <c r="E8" s="7">
        <f t="shared" si="0"/>
        <v>1880</v>
      </c>
      <c r="F8" s="7">
        <v>235</v>
      </c>
      <c r="G8" s="4">
        <v>0.01</v>
      </c>
      <c r="I8" s="39"/>
      <c r="J8" s="40" t="s">
        <v>59</v>
      </c>
      <c r="K8" s="42" t="s">
        <v>50</v>
      </c>
      <c r="L8" s="43" t="s">
        <v>49</v>
      </c>
      <c r="M8" s="44" t="s">
        <v>48</v>
      </c>
      <c r="N8" s="45" t="s">
        <v>11</v>
      </c>
      <c r="P8"/>
    </row>
    <row r="9" spans="2:17" ht="17.399999999999999" customHeight="1" x14ac:dyDescent="0.3">
      <c r="B9" s="6">
        <v>5</v>
      </c>
      <c r="C9" s="24" t="s">
        <v>58</v>
      </c>
      <c r="D9" s="6">
        <v>8</v>
      </c>
      <c r="E9" s="7">
        <f t="shared" si="0"/>
        <v>1880</v>
      </c>
      <c r="F9" s="7">
        <v>235</v>
      </c>
      <c r="G9" s="4">
        <v>0.01</v>
      </c>
      <c r="I9" s="39"/>
      <c r="J9" s="41"/>
      <c r="K9" s="42"/>
      <c r="L9" s="43"/>
      <c r="M9" s="44"/>
      <c r="N9" s="45"/>
    </row>
    <row r="10" spans="2:17" ht="15.6" x14ac:dyDescent="0.3">
      <c r="B10" s="6">
        <v>6</v>
      </c>
      <c r="C10" s="24" t="s">
        <v>57</v>
      </c>
      <c r="D10" s="6">
        <v>8</v>
      </c>
      <c r="E10" s="7">
        <f t="shared" si="0"/>
        <v>1880</v>
      </c>
      <c r="F10" s="7">
        <v>235</v>
      </c>
      <c r="G10" s="4">
        <v>0.01</v>
      </c>
      <c r="I10" s="5"/>
      <c r="J10" s="10" t="s">
        <v>56</v>
      </c>
      <c r="K10" s="6">
        <v>10</v>
      </c>
      <c r="L10" s="7" t="s">
        <v>16</v>
      </c>
      <c r="M10" s="7">
        <v>3000</v>
      </c>
      <c r="N10" s="4">
        <v>0.01</v>
      </c>
    </row>
    <row r="11" spans="2:17" ht="15.6" x14ac:dyDescent="0.3">
      <c r="B11" s="6">
        <v>7</v>
      </c>
      <c r="C11" s="24" t="s">
        <v>67</v>
      </c>
      <c r="D11" s="6">
        <v>8</v>
      </c>
      <c r="E11" s="7">
        <f t="shared" si="0"/>
        <v>3040</v>
      </c>
      <c r="F11" s="7">
        <v>380</v>
      </c>
      <c r="G11" s="4">
        <v>0.01</v>
      </c>
      <c r="I11" s="5"/>
      <c r="J11" s="10" t="s">
        <v>54</v>
      </c>
      <c r="K11" s="6">
        <v>10</v>
      </c>
      <c r="L11" s="7" t="s">
        <v>16</v>
      </c>
      <c r="M11" s="7">
        <v>2600</v>
      </c>
      <c r="N11" s="4">
        <v>0.01</v>
      </c>
    </row>
    <row r="12" spans="2:17" ht="15.6" x14ac:dyDescent="0.3">
      <c r="B12" s="6">
        <v>8</v>
      </c>
      <c r="C12" s="24" t="s">
        <v>55</v>
      </c>
      <c r="D12" s="6">
        <v>8</v>
      </c>
      <c r="E12" s="7">
        <f t="shared" si="0"/>
        <v>1880</v>
      </c>
      <c r="F12" s="7">
        <v>235</v>
      </c>
      <c r="G12" s="4">
        <v>0.01</v>
      </c>
      <c r="I12" s="5"/>
      <c r="J12" s="10" t="s">
        <v>53</v>
      </c>
      <c r="K12" s="6">
        <v>10</v>
      </c>
      <c r="L12" s="7" t="s">
        <v>16</v>
      </c>
      <c r="M12" s="7">
        <v>3500</v>
      </c>
      <c r="N12" s="4">
        <v>0.01</v>
      </c>
    </row>
    <row r="13" spans="2:17" ht="15.6" x14ac:dyDescent="0.3">
      <c r="B13" s="6">
        <v>9</v>
      </c>
      <c r="C13" s="24" t="s">
        <v>77</v>
      </c>
      <c r="D13" s="6">
        <v>8</v>
      </c>
      <c r="E13" s="7">
        <f t="shared" si="0"/>
        <v>2400</v>
      </c>
      <c r="F13" s="7">
        <v>300</v>
      </c>
      <c r="G13" s="4">
        <v>0.01</v>
      </c>
      <c r="I13" s="5"/>
      <c r="J13" s="10" t="s">
        <v>52</v>
      </c>
      <c r="K13" s="6">
        <v>10</v>
      </c>
      <c r="L13" s="7" t="s">
        <v>16</v>
      </c>
      <c r="M13" s="7">
        <v>2900</v>
      </c>
      <c r="N13" s="4">
        <v>0.01</v>
      </c>
    </row>
    <row r="14" spans="2:17" ht="15.6" x14ac:dyDescent="0.3">
      <c r="B14" s="20"/>
      <c r="C14" s="21"/>
      <c r="D14" s="20"/>
      <c r="E14" s="19"/>
      <c r="F14" s="19"/>
      <c r="G14" s="18"/>
      <c r="I14" s="5"/>
      <c r="J14" s="10" t="s">
        <v>51</v>
      </c>
      <c r="K14" s="6">
        <v>10</v>
      </c>
      <c r="L14" s="7" t="s">
        <v>16</v>
      </c>
      <c r="M14" s="7">
        <v>2900</v>
      </c>
      <c r="N14" s="4">
        <v>0.01</v>
      </c>
    </row>
    <row r="15" spans="2:17" ht="15.6" x14ac:dyDescent="0.3">
      <c r="B15" s="20"/>
      <c r="C15" s="21"/>
      <c r="D15" s="20"/>
      <c r="E15" s="19"/>
      <c r="F15" s="19"/>
      <c r="G15" s="18"/>
    </row>
    <row r="16" spans="2:17" ht="15.6" x14ac:dyDescent="0.3">
      <c r="B16" s="20"/>
      <c r="C16" s="21"/>
      <c r="D16" s="20"/>
      <c r="E16" s="19"/>
      <c r="F16" s="19"/>
      <c r="G16" s="18"/>
      <c r="I16" s="25"/>
      <c r="J16" s="21"/>
      <c r="K16" s="20"/>
      <c r="L16" s="19"/>
      <c r="M16" s="19"/>
      <c r="N16" s="18"/>
    </row>
    <row r="17" spans="2:14" ht="50.4" customHeight="1" x14ac:dyDescent="0.3">
      <c r="B17" s="26"/>
      <c r="C17" s="27" t="s">
        <v>75</v>
      </c>
      <c r="D17" s="28" t="s">
        <v>50</v>
      </c>
      <c r="E17" s="29" t="s">
        <v>49</v>
      </c>
      <c r="F17" s="30" t="s">
        <v>48</v>
      </c>
      <c r="G17" s="31" t="s">
        <v>11</v>
      </c>
      <c r="I17" s="26"/>
      <c r="J17" s="32" t="s">
        <v>76</v>
      </c>
      <c r="K17" s="28" t="s">
        <v>50</v>
      </c>
      <c r="L17" s="29" t="s">
        <v>49</v>
      </c>
      <c r="M17" s="30" t="s">
        <v>48</v>
      </c>
      <c r="N17" s="31" t="s">
        <v>11</v>
      </c>
    </row>
    <row r="18" spans="2:14" ht="15.6" x14ac:dyDescent="0.3">
      <c r="B18" s="6"/>
      <c r="C18" s="10" t="s">
        <v>46</v>
      </c>
      <c r="D18" s="6" t="s">
        <v>17</v>
      </c>
      <c r="E18" s="7" t="s">
        <v>16</v>
      </c>
      <c r="F18" s="7">
        <v>2700</v>
      </c>
      <c r="G18" s="4">
        <v>0.01</v>
      </c>
      <c r="I18" s="13"/>
      <c r="J18" s="14" t="s">
        <v>47</v>
      </c>
      <c r="K18" s="13" t="s">
        <v>17</v>
      </c>
      <c r="L18" s="12" t="s">
        <v>16</v>
      </c>
      <c r="M18" s="12">
        <v>2300</v>
      </c>
      <c r="N18" s="11">
        <v>0.01</v>
      </c>
    </row>
    <row r="19" spans="2:14" ht="15.6" x14ac:dyDescent="0.3">
      <c r="B19" s="6"/>
      <c r="C19" s="24" t="s">
        <v>44</v>
      </c>
      <c r="D19" s="6" t="s">
        <v>17</v>
      </c>
      <c r="E19" s="7" t="s">
        <v>16</v>
      </c>
      <c r="F19" s="7">
        <v>2600</v>
      </c>
      <c r="G19" s="4">
        <v>0.01</v>
      </c>
      <c r="I19" s="6"/>
      <c r="J19" s="24" t="s">
        <v>45</v>
      </c>
      <c r="K19" s="6" t="s">
        <v>17</v>
      </c>
      <c r="L19" s="7" t="s">
        <v>16</v>
      </c>
      <c r="M19" s="7">
        <v>2200</v>
      </c>
      <c r="N19" s="4">
        <v>0.01</v>
      </c>
    </row>
    <row r="20" spans="2:14" ht="15.6" x14ac:dyDescent="0.3">
      <c r="B20" s="6"/>
      <c r="C20" s="24" t="s">
        <v>42</v>
      </c>
      <c r="D20" s="6" t="s">
        <v>17</v>
      </c>
      <c r="E20" s="7" t="s">
        <v>16</v>
      </c>
      <c r="F20" s="7">
        <v>2900</v>
      </c>
      <c r="G20" s="4">
        <v>0.01</v>
      </c>
      <c r="I20" s="6"/>
      <c r="J20" s="24" t="s">
        <v>43</v>
      </c>
      <c r="K20" s="6" t="s">
        <v>17</v>
      </c>
      <c r="L20" s="7" t="s">
        <v>16</v>
      </c>
      <c r="M20" s="7">
        <v>2100</v>
      </c>
      <c r="N20" s="4">
        <v>0.01</v>
      </c>
    </row>
    <row r="21" spans="2:14" ht="15.6" x14ac:dyDescent="0.3">
      <c r="B21" s="6"/>
      <c r="C21" s="24" t="s">
        <v>40</v>
      </c>
      <c r="D21" s="6" t="s">
        <v>17</v>
      </c>
      <c r="E21" s="7" t="s">
        <v>16</v>
      </c>
      <c r="F21" s="7">
        <v>2800</v>
      </c>
      <c r="G21" s="4">
        <v>0.01</v>
      </c>
      <c r="I21" s="6"/>
      <c r="J21" s="24" t="s">
        <v>41</v>
      </c>
      <c r="K21" s="6" t="s">
        <v>17</v>
      </c>
      <c r="L21" s="7" t="s">
        <v>16</v>
      </c>
      <c r="M21" s="7">
        <v>2400</v>
      </c>
      <c r="N21" s="4">
        <v>0.01</v>
      </c>
    </row>
    <row r="22" spans="2:14" ht="15.6" x14ac:dyDescent="0.3">
      <c r="B22" s="6"/>
      <c r="C22" s="24" t="s">
        <v>38</v>
      </c>
      <c r="D22" s="6" t="s">
        <v>17</v>
      </c>
      <c r="E22" s="7" t="s">
        <v>16</v>
      </c>
      <c r="F22" s="7">
        <v>2800</v>
      </c>
      <c r="G22" s="4">
        <v>0.01</v>
      </c>
      <c r="I22" s="6"/>
      <c r="J22" s="24" t="s">
        <v>39</v>
      </c>
      <c r="K22" s="6" t="s">
        <v>17</v>
      </c>
      <c r="L22" s="7" t="s">
        <v>16</v>
      </c>
      <c r="M22" s="7">
        <v>2200</v>
      </c>
      <c r="N22" s="4">
        <v>0.01</v>
      </c>
    </row>
    <row r="23" spans="2:14" ht="15.6" x14ac:dyDescent="0.3">
      <c r="B23" s="6"/>
      <c r="C23" s="24" t="s">
        <v>36</v>
      </c>
      <c r="D23" s="6" t="s">
        <v>17</v>
      </c>
      <c r="E23" s="7" t="s">
        <v>16</v>
      </c>
      <c r="F23" s="7">
        <v>2800</v>
      </c>
      <c r="G23" s="4">
        <v>0.01</v>
      </c>
      <c r="I23" s="6"/>
      <c r="J23" s="24" t="s">
        <v>37</v>
      </c>
      <c r="K23" s="6" t="s">
        <v>17</v>
      </c>
      <c r="L23" s="7" t="s">
        <v>16</v>
      </c>
      <c r="M23" s="7">
        <v>2200</v>
      </c>
      <c r="N23" s="4">
        <v>0.01</v>
      </c>
    </row>
    <row r="24" spans="2:14" ht="15.6" x14ac:dyDescent="0.3">
      <c r="B24" s="6"/>
      <c r="C24" s="24" t="s">
        <v>34</v>
      </c>
      <c r="D24" s="6" t="s">
        <v>17</v>
      </c>
      <c r="E24" s="7" t="s">
        <v>16</v>
      </c>
      <c r="F24" s="7">
        <v>2800</v>
      </c>
      <c r="G24" s="4">
        <v>0.01</v>
      </c>
      <c r="I24" s="6"/>
      <c r="J24" s="24" t="s">
        <v>35</v>
      </c>
      <c r="K24" s="6" t="s">
        <v>17</v>
      </c>
      <c r="L24" s="7" t="s">
        <v>16</v>
      </c>
      <c r="M24" s="7">
        <v>2200</v>
      </c>
      <c r="N24" s="4">
        <v>0.01</v>
      </c>
    </row>
    <row r="25" spans="2:14" ht="15.6" x14ac:dyDescent="0.3">
      <c r="B25" s="6"/>
      <c r="C25" s="24" t="s">
        <v>32</v>
      </c>
      <c r="D25" s="6" t="s">
        <v>17</v>
      </c>
      <c r="E25" s="7" t="s">
        <v>16</v>
      </c>
      <c r="F25" s="7">
        <v>3300</v>
      </c>
      <c r="G25" s="4">
        <v>0.01</v>
      </c>
      <c r="I25" s="6"/>
      <c r="J25" s="24" t="s">
        <v>33</v>
      </c>
      <c r="K25" s="6" t="s">
        <v>17</v>
      </c>
      <c r="L25" s="7" t="s">
        <v>16</v>
      </c>
      <c r="M25" s="7">
        <v>2800</v>
      </c>
      <c r="N25" s="4">
        <v>0.01</v>
      </c>
    </row>
    <row r="26" spans="2:14" ht="15.6" x14ac:dyDescent="0.3">
      <c r="B26" s="6"/>
      <c r="C26" s="24" t="s">
        <v>30</v>
      </c>
      <c r="D26" s="6" t="s">
        <v>17</v>
      </c>
      <c r="E26" s="7" t="s">
        <v>16</v>
      </c>
      <c r="F26" s="7">
        <v>2800</v>
      </c>
      <c r="G26" s="4">
        <v>0.01</v>
      </c>
      <c r="I26" s="6"/>
      <c r="J26" s="24" t="s">
        <v>31</v>
      </c>
      <c r="K26" s="6" t="s">
        <v>17</v>
      </c>
      <c r="L26" s="7" t="s">
        <v>16</v>
      </c>
      <c r="M26" s="7">
        <v>2200</v>
      </c>
      <c r="N26" s="4">
        <v>0.01</v>
      </c>
    </row>
    <row r="27" spans="2:14" ht="15.6" x14ac:dyDescent="0.3">
      <c r="B27" s="6"/>
      <c r="C27" s="24" t="s">
        <v>28</v>
      </c>
      <c r="D27" s="6" t="s">
        <v>17</v>
      </c>
      <c r="E27" s="7" t="s">
        <v>16</v>
      </c>
      <c r="F27" s="7">
        <v>5100</v>
      </c>
      <c r="G27" s="4">
        <v>0.01</v>
      </c>
      <c r="I27" s="6"/>
      <c r="J27" s="24" t="s">
        <v>29</v>
      </c>
      <c r="K27" s="6" t="s">
        <v>17</v>
      </c>
      <c r="L27" s="7" t="s">
        <v>16</v>
      </c>
      <c r="M27" s="7">
        <v>2200</v>
      </c>
      <c r="N27" s="4">
        <v>0.01</v>
      </c>
    </row>
    <row r="28" spans="2:14" ht="15.6" x14ac:dyDescent="0.3">
      <c r="B28" s="6"/>
      <c r="C28" s="24" t="s">
        <v>26</v>
      </c>
      <c r="D28" s="6" t="s">
        <v>17</v>
      </c>
      <c r="E28" s="7" t="s">
        <v>16</v>
      </c>
      <c r="F28" s="7">
        <v>3200</v>
      </c>
      <c r="G28" s="4">
        <v>0.01</v>
      </c>
      <c r="I28" s="6"/>
      <c r="J28" s="24" t="s">
        <v>27</v>
      </c>
      <c r="K28" s="6" t="s">
        <v>17</v>
      </c>
      <c r="L28" s="7" t="s">
        <v>16</v>
      </c>
      <c r="M28" s="7">
        <v>2400</v>
      </c>
      <c r="N28" s="4">
        <v>0.01</v>
      </c>
    </row>
    <row r="29" spans="2:14" ht="15.6" x14ac:dyDescent="0.3">
      <c r="B29" s="6"/>
      <c r="C29" s="24" t="s">
        <v>24</v>
      </c>
      <c r="D29" s="6" t="s">
        <v>17</v>
      </c>
      <c r="E29" s="7" t="s">
        <v>16</v>
      </c>
      <c r="F29" s="7">
        <v>3400</v>
      </c>
      <c r="G29" s="4">
        <v>0.01</v>
      </c>
      <c r="I29" s="6"/>
      <c r="J29" s="24" t="s">
        <v>25</v>
      </c>
      <c r="K29" s="6" t="s">
        <v>17</v>
      </c>
      <c r="L29" s="7" t="s">
        <v>16</v>
      </c>
      <c r="M29" s="7">
        <v>2200</v>
      </c>
      <c r="N29" s="4">
        <v>0.01</v>
      </c>
    </row>
    <row r="30" spans="2:14" ht="15.6" x14ac:dyDescent="0.3">
      <c r="B30" s="6"/>
      <c r="C30" s="24" t="s">
        <v>22</v>
      </c>
      <c r="D30" s="6" t="s">
        <v>17</v>
      </c>
      <c r="E30" s="7" t="s">
        <v>16</v>
      </c>
      <c r="F30" s="7">
        <v>2800</v>
      </c>
      <c r="G30" s="4">
        <v>0.01</v>
      </c>
      <c r="I30" s="6"/>
      <c r="J30" s="24" t="s">
        <v>23</v>
      </c>
      <c r="K30" s="6" t="s">
        <v>17</v>
      </c>
      <c r="L30" s="7" t="s">
        <v>16</v>
      </c>
      <c r="M30" s="7">
        <v>2200</v>
      </c>
      <c r="N30" s="4">
        <v>0.01</v>
      </c>
    </row>
    <row r="31" spans="2:14" ht="21.6" customHeight="1" x14ac:dyDescent="0.3">
      <c r="B31" s="6"/>
      <c r="C31" s="24" t="s">
        <v>21</v>
      </c>
      <c r="D31" s="6" t="s">
        <v>17</v>
      </c>
      <c r="E31" s="7" t="s">
        <v>16</v>
      </c>
      <c r="F31" s="7">
        <v>3300</v>
      </c>
      <c r="G31" s="4">
        <v>0.01</v>
      </c>
      <c r="I31" s="46"/>
      <c r="J31" s="5"/>
      <c r="K31" s="5"/>
      <c r="L31" s="5"/>
      <c r="M31" s="5"/>
      <c r="N31" s="5"/>
    </row>
    <row r="32" spans="2:14" ht="21.6" customHeight="1" x14ac:dyDescent="0.3">
      <c r="B32" s="6"/>
      <c r="C32" s="24" t="s">
        <v>18</v>
      </c>
      <c r="D32" s="6" t="s">
        <v>17</v>
      </c>
      <c r="E32" s="7" t="s">
        <v>16</v>
      </c>
      <c r="F32" s="7">
        <v>3400</v>
      </c>
      <c r="G32" s="4">
        <v>0.01</v>
      </c>
      <c r="I32" s="47"/>
      <c r="J32" s="24" t="s">
        <v>20</v>
      </c>
      <c r="K32" s="6" t="s">
        <v>17</v>
      </c>
      <c r="L32" s="9" t="s">
        <v>19</v>
      </c>
      <c r="M32" s="7">
        <v>1750</v>
      </c>
      <c r="N32" s="4">
        <v>0.01</v>
      </c>
    </row>
    <row r="33" spans="2:17" ht="24.6" customHeight="1" x14ac:dyDescent="0.3">
      <c r="C33" s="1"/>
    </row>
    <row r="34" spans="2:17" ht="43.8" customHeight="1" x14ac:dyDescent="0.3">
      <c r="B34" s="36" t="s">
        <v>15</v>
      </c>
      <c r="C34" s="37"/>
      <c r="D34" s="37"/>
      <c r="E34" s="37"/>
      <c r="F34" s="37"/>
      <c r="G34" s="38"/>
      <c r="I34" s="36" t="s">
        <v>15</v>
      </c>
      <c r="J34" s="37"/>
      <c r="K34" s="37"/>
      <c r="L34" s="37"/>
      <c r="M34" s="37"/>
      <c r="N34" s="38"/>
    </row>
    <row r="35" spans="2:17" ht="27.75" customHeight="1" x14ac:dyDescent="0.3">
      <c r="B35" s="26"/>
      <c r="C35" s="48" t="s">
        <v>14</v>
      </c>
      <c r="D35" s="49"/>
      <c r="E35" s="29" t="s">
        <v>13</v>
      </c>
      <c r="F35" s="33" t="s">
        <v>12</v>
      </c>
      <c r="G35" s="31" t="s">
        <v>11</v>
      </c>
      <c r="I35" s="26"/>
      <c r="J35" s="48" t="s">
        <v>14</v>
      </c>
      <c r="K35" s="49"/>
      <c r="L35" s="29" t="s">
        <v>13</v>
      </c>
      <c r="M35" s="33" t="s">
        <v>12</v>
      </c>
      <c r="N35" s="31" t="s">
        <v>11</v>
      </c>
    </row>
    <row r="36" spans="2:17" ht="78.599999999999994" customHeight="1" x14ac:dyDescent="0.3">
      <c r="B36" s="6"/>
      <c r="C36" s="34" t="s">
        <v>10</v>
      </c>
      <c r="D36" s="35"/>
      <c r="E36" s="7" t="s">
        <v>1</v>
      </c>
      <c r="F36" s="7">
        <v>2600</v>
      </c>
      <c r="G36" s="4">
        <v>0.01</v>
      </c>
      <c r="I36" s="6"/>
      <c r="J36" s="34" t="s">
        <v>69</v>
      </c>
      <c r="K36" s="35"/>
      <c r="L36" s="7" t="s">
        <v>1</v>
      </c>
      <c r="M36" s="7">
        <v>620</v>
      </c>
      <c r="N36" s="4">
        <v>0.01</v>
      </c>
    </row>
    <row r="37" spans="2:17" ht="78.599999999999994" customHeight="1" x14ac:dyDescent="0.3">
      <c r="B37" s="6"/>
      <c r="C37" s="34" t="s">
        <v>9</v>
      </c>
      <c r="D37" s="35"/>
      <c r="E37" s="7" t="s">
        <v>1</v>
      </c>
      <c r="F37" s="7">
        <v>750</v>
      </c>
      <c r="G37" s="4">
        <v>0.01</v>
      </c>
      <c r="I37" s="6"/>
      <c r="J37" s="34" t="s">
        <v>8</v>
      </c>
      <c r="K37" s="35"/>
      <c r="L37" s="7" t="s">
        <v>70</v>
      </c>
      <c r="M37" s="7">
        <v>1000</v>
      </c>
      <c r="N37" s="4">
        <v>0.01</v>
      </c>
    </row>
    <row r="38" spans="2:17" ht="78.599999999999994" customHeight="1" x14ac:dyDescent="0.3">
      <c r="B38" s="6"/>
      <c r="C38" s="52" t="s">
        <v>7</v>
      </c>
      <c r="D38" s="53"/>
      <c r="E38" s="7" t="s">
        <v>70</v>
      </c>
      <c r="F38" s="7">
        <v>1200</v>
      </c>
      <c r="G38" s="4">
        <v>0.01</v>
      </c>
      <c r="I38" s="6"/>
      <c r="J38" s="52" t="s">
        <v>6</v>
      </c>
      <c r="K38" s="53"/>
      <c r="L38" s="7" t="s">
        <v>70</v>
      </c>
      <c r="M38" s="7">
        <v>1200</v>
      </c>
      <c r="N38" s="4">
        <v>0.01</v>
      </c>
      <c r="P38"/>
    </row>
    <row r="39" spans="2:17" ht="78.599999999999994" customHeight="1" x14ac:dyDescent="0.3">
      <c r="B39" s="6"/>
      <c r="C39" s="52" t="s">
        <v>68</v>
      </c>
      <c r="D39" s="53"/>
      <c r="E39" s="7" t="s">
        <v>5</v>
      </c>
      <c r="F39" s="7">
        <v>675</v>
      </c>
      <c r="G39" s="4">
        <v>0.01</v>
      </c>
      <c r="I39" s="6"/>
      <c r="J39" s="52" t="s">
        <v>71</v>
      </c>
      <c r="K39" s="53"/>
      <c r="L39" s="7" t="s">
        <v>4</v>
      </c>
      <c r="M39" s="7">
        <v>420</v>
      </c>
      <c r="N39" s="4">
        <v>0.01</v>
      </c>
      <c r="Q39"/>
    </row>
    <row r="40" spans="2:17" ht="78.599999999999994" customHeight="1" x14ac:dyDescent="0.3">
      <c r="B40" s="5"/>
      <c r="C40" s="34" t="s">
        <v>72</v>
      </c>
      <c r="D40" s="35"/>
      <c r="E40" s="7" t="s">
        <v>1</v>
      </c>
      <c r="F40" s="7">
        <v>250</v>
      </c>
      <c r="G40" s="4">
        <v>0.01</v>
      </c>
      <c r="I40" s="5"/>
      <c r="J40" s="34" t="s">
        <v>2</v>
      </c>
      <c r="K40" s="35"/>
      <c r="L40" s="6" t="s">
        <v>1</v>
      </c>
      <c r="M40" s="6">
        <v>300</v>
      </c>
      <c r="N40" s="4">
        <v>0.01</v>
      </c>
      <c r="P40"/>
    </row>
    <row r="41" spans="2:17" ht="78.599999999999994" customHeight="1" x14ac:dyDescent="0.3">
      <c r="B41" s="5"/>
      <c r="C41" s="34" t="s">
        <v>3</v>
      </c>
      <c r="D41" s="35"/>
      <c r="E41" s="7" t="s">
        <v>1</v>
      </c>
      <c r="F41" s="7">
        <v>340</v>
      </c>
      <c r="G41" s="4">
        <v>0.01</v>
      </c>
      <c r="I41" s="5"/>
      <c r="J41" s="50"/>
      <c r="K41" s="51"/>
      <c r="L41" s="5"/>
      <c r="M41" s="5"/>
      <c r="N41" s="5"/>
    </row>
    <row r="42" spans="2:17" ht="21.6" customHeight="1" x14ac:dyDescent="0.3">
      <c r="B42" s="1" t="s">
        <v>0</v>
      </c>
    </row>
    <row r="43" spans="2:17" ht="21.6" customHeight="1" x14ac:dyDescent="0.3"/>
    <row r="44" spans="2:17" ht="21.6" customHeight="1" x14ac:dyDescent="0.3"/>
    <row r="45" spans="2:17" ht="63" customHeight="1" x14ac:dyDescent="0.3">
      <c r="J45"/>
    </row>
    <row r="46" spans="2:17" ht="63" customHeight="1" x14ac:dyDescent="0.3">
      <c r="C46" s="3"/>
      <c r="D46" s="3"/>
    </row>
    <row r="47" spans="2:17" ht="63" customHeight="1" x14ac:dyDescent="0.3">
      <c r="D47" s="3"/>
    </row>
    <row r="48" spans="2:17" ht="63" customHeight="1" x14ac:dyDescent="0.3">
      <c r="D48" s="3"/>
    </row>
    <row r="49" ht="63" customHeight="1" x14ac:dyDescent="0.3"/>
  </sheetData>
  <mergeCells count="25">
    <mergeCell ref="C40:D40"/>
    <mergeCell ref="J40:K40"/>
    <mergeCell ref="C41:D41"/>
    <mergeCell ref="J41:K41"/>
    <mergeCell ref="C37:D37"/>
    <mergeCell ref="J37:K37"/>
    <mergeCell ref="C38:D38"/>
    <mergeCell ref="J38:K38"/>
    <mergeCell ref="C39:D39"/>
    <mergeCell ref="J39:K39"/>
    <mergeCell ref="C36:D36"/>
    <mergeCell ref="J36:K36"/>
    <mergeCell ref="B3:G3"/>
    <mergeCell ref="I3:N3"/>
    <mergeCell ref="I8:I9"/>
    <mergeCell ref="J8:J9"/>
    <mergeCell ref="K8:K9"/>
    <mergeCell ref="L8:L9"/>
    <mergeCell ref="M8:M9"/>
    <mergeCell ref="N8:N9"/>
    <mergeCell ref="I31:I32"/>
    <mergeCell ref="B34:G34"/>
    <mergeCell ref="I34:N34"/>
    <mergeCell ref="C35:D35"/>
    <mergeCell ref="J35:K35"/>
  </mergeCells>
  <printOptions horizontalCentered="1" verticalCentered="1"/>
  <pageMargins left="0.11811023622047245" right="0.11811023622047245" top="0.15748031496062992" bottom="0.15748031496062992" header="0" footer="0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2026-08-11T06:48:09Z</cp:lastPrinted>
  <dcterms:created xsi:type="dcterms:W3CDTF">2026-08-01T12:40:37Z</dcterms:created>
  <dcterms:modified xsi:type="dcterms:W3CDTF">2026-09-01T08:10:42Z</dcterms:modified>
</cp:coreProperties>
</file>